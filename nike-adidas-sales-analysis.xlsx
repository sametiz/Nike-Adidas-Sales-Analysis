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amet\Desktop\"/>
    </mc:Choice>
  </mc:AlternateContent>
  <xr:revisionPtr revIDLastSave="0" documentId="8_{33205865-DCFF-400A-9377-B462F45888A6}" xr6:coauthVersionLast="47" xr6:coauthVersionMax="47" xr10:uidLastSave="{00000000-0000-0000-0000-000000000000}"/>
  <bookViews>
    <workbookView xWindow="-108" yWindow="-108" windowWidth="23256" windowHeight="12456" firstSheet="2" activeTab="4" xr2:uid="{00000000-000D-0000-FFFF-FFFF00000000}"/>
  </bookViews>
  <sheets>
    <sheet name="Sheet1" sheetId="2" state="hidden" r:id="rId1"/>
    <sheet name="Daily Performance " sheetId="8" r:id="rId2"/>
    <sheet name="Regional Brand Performance" sheetId="6" r:id="rId3"/>
    <sheet name="Category Performance Dashboard" sheetId="4" r:id="rId4"/>
    <sheet name="Data" sheetId="1" r:id="rId5"/>
  </sheets>
  <definedNames>
    <definedName name="_xlnm._FilterDatabase" localSheetId="4" hidden="1">Data!$E$1:$E$101</definedName>
    <definedName name="Slicer_OrderDay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1" i="8" l="1"/>
  <c r="B101" i="8"/>
  <c r="C101" i="8" s="1" a="1"/>
  <c r="C101" i="8" s="1"/>
  <c r="Q100" i="8"/>
  <c r="B100" i="8"/>
  <c r="C100" i="8" s="1" a="1"/>
  <c r="C100" i="8" s="1"/>
  <c r="Q99" i="8"/>
  <c r="B99" i="8"/>
  <c r="C99" i="8" s="1" a="1"/>
  <c r="C99" i="8" s="1"/>
  <c r="Q98" i="8"/>
  <c r="B98" i="8"/>
  <c r="C98" i="8" s="1" a="1"/>
  <c r="C98" i="8" s="1"/>
  <c r="Q97" i="8"/>
  <c r="B97" i="8"/>
  <c r="C97" i="8" s="1" a="1"/>
  <c r="C97" i="8" s="1"/>
  <c r="Q96" i="8"/>
  <c r="B96" i="8"/>
  <c r="C96" i="8" s="1" a="1"/>
  <c r="C96" i="8" s="1"/>
  <c r="Q95" i="8"/>
  <c r="B95" i="8"/>
  <c r="C95" i="8" s="1" a="1"/>
  <c r="C95" i="8" s="1"/>
  <c r="Q94" i="8"/>
  <c r="B94" i="8"/>
  <c r="C94" i="8" s="1" a="1"/>
  <c r="C94" i="8" s="1"/>
  <c r="Q93" i="8"/>
  <c r="B93" i="8"/>
  <c r="C93" i="8" s="1" a="1"/>
  <c r="C93" i="8" s="1"/>
  <c r="Q92" i="8"/>
  <c r="B92" i="8"/>
  <c r="C92" i="8" s="1" a="1"/>
  <c r="C92" i="8" s="1"/>
  <c r="Q91" i="8"/>
  <c r="B91" i="8"/>
  <c r="C91" i="8" s="1" a="1"/>
  <c r="C91" i="8" s="1"/>
  <c r="Q90" i="8"/>
  <c r="B90" i="8"/>
  <c r="C90" i="8" s="1" a="1"/>
  <c r="C90" i="8" s="1"/>
  <c r="Q89" i="8"/>
  <c r="B89" i="8"/>
  <c r="C89" i="8" s="1" a="1"/>
  <c r="C89" i="8" s="1"/>
  <c r="Q88" i="8"/>
  <c r="B88" i="8"/>
  <c r="C88" i="8" s="1" a="1"/>
  <c r="C88" i="8" s="1"/>
  <c r="Q87" i="8"/>
  <c r="B87" i="8"/>
  <c r="C87" i="8" s="1" a="1"/>
  <c r="C87" i="8" s="1"/>
  <c r="Q86" i="8"/>
  <c r="B86" i="8"/>
  <c r="C86" i="8" s="1" a="1"/>
  <c r="C86" i="8" s="1"/>
  <c r="Q85" i="8"/>
  <c r="B85" i="8"/>
  <c r="C85" i="8" s="1" a="1"/>
  <c r="C85" i="8" s="1"/>
  <c r="Q84" i="8"/>
  <c r="B84" i="8"/>
  <c r="C84" i="8" s="1" a="1"/>
  <c r="C84" i="8" s="1"/>
  <c r="Q83" i="8"/>
  <c r="B83" i="8"/>
  <c r="C83" i="8" s="1" a="1"/>
  <c r="C83" i="8" s="1"/>
  <c r="Q82" i="8"/>
  <c r="B82" i="8"/>
  <c r="C82" i="8" s="1" a="1"/>
  <c r="C82" i="8" s="1"/>
  <c r="Q81" i="8"/>
  <c r="B81" i="8"/>
  <c r="C81" i="8" s="1" a="1"/>
  <c r="C81" i="8" s="1"/>
  <c r="Q80" i="8"/>
  <c r="B80" i="8"/>
  <c r="C80" i="8" s="1" a="1"/>
  <c r="C80" i="8" s="1"/>
  <c r="Q79" i="8"/>
  <c r="B79" i="8"/>
  <c r="C79" i="8" s="1" a="1"/>
  <c r="C79" i="8" s="1"/>
  <c r="Q78" i="8"/>
  <c r="B78" i="8"/>
  <c r="C78" i="8" s="1" a="1"/>
  <c r="C78" i="8" s="1"/>
  <c r="Q77" i="8"/>
  <c r="B77" i="8"/>
  <c r="C77" i="8" s="1" a="1"/>
  <c r="C77" i="8" s="1"/>
  <c r="Q76" i="8"/>
  <c r="B76" i="8"/>
  <c r="C76" i="8" s="1" a="1"/>
  <c r="C76" i="8" s="1"/>
  <c r="Q75" i="8"/>
  <c r="B75" i="8"/>
  <c r="C75" i="8" s="1" a="1"/>
  <c r="C75" i="8" s="1"/>
  <c r="Q74" i="8"/>
  <c r="B74" i="8"/>
  <c r="C74" i="8" s="1" a="1"/>
  <c r="C74" i="8" s="1"/>
  <c r="Q73" i="8"/>
  <c r="B73" i="8"/>
  <c r="C73" i="8" s="1" a="1"/>
  <c r="C73" i="8" s="1"/>
  <c r="Q72" i="8"/>
  <c r="B72" i="8"/>
  <c r="C72" i="8" s="1" a="1"/>
  <c r="C72" i="8" s="1"/>
  <c r="Q71" i="8"/>
  <c r="B71" i="8"/>
  <c r="C71" i="8" s="1" a="1"/>
  <c r="C71" i="8" s="1"/>
  <c r="Q70" i="8"/>
  <c r="B70" i="8"/>
  <c r="C70" i="8" s="1" a="1"/>
  <c r="C70" i="8" s="1"/>
  <c r="Q69" i="8"/>
  <c r="B69" i="8"/>
  <c r="C69" i="8" s="1" a="1"/>
  <c r="C69" i="8" s="1"/>
  <c r="Q68" i="8"/>
  <c r="B68" i="8"/>
  <c r="C68" i="8" s="1" a="1"/>
  <c r="C68" i="8" s="1"/>
  <c r="Q67" i="8"/>
  <c r="B67" i="8"/>
  <c r="C67" i="8" s="1" a="1"/>
  <c r="C67" i="8" s="1"/>
  <c r="Q66" i="8"/>
  <c r="B66" i="8"/>
  <c r="C66" i="8" s="1" a="1"/>
  <c r="C66" i="8" s="1"/>
  <c r="Q65" i="8"/>
  <c r="B65" i="8"/>
  <c r="C65" i="8" s="1" a="1"/>
  <c r="C65" i="8" s="1"/>
  <c r="Q64" i="8"/>
  <c r="B64" i="8"/>
  <c r="C64" i="8" s="1" a="1"/>
  <c r="C64" i="8" s="1"/>
  <c r="Q63" i="8"/>
  <c r="B63" i="8"/>
  <c r="C63" i="8" s="1" a="1"/>
  <c r="C63" i="8" s="1"/>
  <c r="Q62" i="8"/>
  <c r="B62" i="8"/>
  <c r="C62" i="8" s="1" a="1"/>
  <c r="C62" i="8" s="1"/>
  <c r="Q61" i="8"/>
  <c r="B61" i="8"/>
  <c r="C61" i="8" s="1" a="1"/>
  <c r="C61" i="8" s="1"/>
  <c r="Q60" i="8"/>
  <c r="B60" i="8"/>
  <c r="C60" i="8" s="1" a="1"/>
  <c r="C60" i="8" s="1"/>
  <c r="Q59" i="8"/>
  <c r="B59" i="8"/>
  <c r="C59" i="8" s="1" a="1"/>
  <c r="C59" i="8" s="1"/>
  <c r="Q58" i="8"/>
  <c r="B58" i="8"/>
  <c r="C58" i="8" s="1" a="1"/>
  <c r="C58" i="8" s="1"/>
  <c r="Q57" i="8"/>
  <c r="B57" i="8"/>
  <c r="C57" i="8" s="1" a="1"/>
  <c r="C57" i="8" s="1"/>
  <c r="Q56" i="8"/>
  <c r="B56" i="8"/>
  <c r="C56" i="8" s="1" a="1"/>
  <c r="C56" i="8" s="1"/>
  <c r="Q55" i="8"/>
  <c r="B55" i="8"/>
  <c r="C55" i="8" s="1" a="1"/>
  <c r="C55" i="8" s="1"/>
  <c r="Q54" i="8"/>
  <c r="B54" i="8"/>
  <c r="C54" i="8" s="1" a="1"/>
  <c r="C54" i="8" s="1"/>
  <c r="Q53" i="8"/>
  <c r="B53" i="8"/>
  <c r="C53" i="8" s="1" a="1"/>
  <c r="C53" i="8" s="1"/>
  <c r="Q52" i="8"/>
  <c r="B52" i="8"/>
  <c r="C52" i="8" s="1" a="1"/>
  <c r="C52" i="8" s="1"/>
  <c r="Q51" i="8"/>
  <c r="B51" i="8"/>
  <c r="C51" i="8" s="1" a="1"/>
  <c r="C51" i="8" s="1"/>
  <c r="Q50" i="8"/>
  <c r="B50" i="8"/>
  <c r="C50" i="8" s="1" a="1"/>
  <c r="C50" i="8" s="1"/>
  <c r="Q49" i="8"/>
  <c r="B49" i="8"/>
  <c r="C49" i="8" s="1" a="1"/>
  <c r="C49" i="8" s="1"/>
  <c r="Q48" i="8"/>
  <c r="B48" i="8"/>
  <c r="C48" i="8" s="1" a="1"/>
  <c r="C48" i="8" s="1"/>
  <c r="Q47" i="8"/>
  <c r="B47" i="8"/>
  <c r="C47" i="8" s="1" a="1"/>
  <c r="C47" i="8" s="1"/>
  <c r="Q46" i="8"/>
  <c r="B46" i="8"/>
  <c r="C46" i="8" s="1" a="1"/>
  <c r="C46" i="8" s="1"/>
  <c r="Q45" i="8"/>
  <c r="B45" i="8"/>
  <c r="C45" i="8" s="1" a="1"/>
  <c r="C45" i="8" s="1"/>
  <c r="Q44" i="8"/>
  <c r="B44" i="8"/>
  <c r="C44" i="8" s="1" a="1"/>
  <c r="C44" i="8" s="1"/>
  <c r="Q43" i="8"/>
  <c r="B43" i="8"/>
  <c r="C43" i="8" s="1" a="1"/>
  <c r="C43" i="8" s="1"/>
  <c r="Q42" i="8"/>
  <c r="B42" i="8"/>
  <c r="C42" i="8" s="1" a="1"/>
  <c r="C42" i="8" s="1"/>
  <c r="Q41" i="8"/>
  <c r="B41" i="8"/>
  <c r="C41" i="8" s="1" a="1"/>
  <c r="C41" i="8" s="1"/>
  <c r="Q40" i="8"/>
  <c r="B40" i="8"/>
  <c r="C40" i="8" s="1" a="1"/>
  <c r="C40" i="8" s="1"/>
  <c r="Q39" i="8"/>
  <c r="B39" i="8"/>
  <c r="C39" i="8" s="1" a="1"/>
  <c r="C39" i="8" s="1"/>
  <c r="Q38" i="8"/>
  <c r="B38" i="8"/>
  <c r="C38" i="8" s="1" a="1"/>
  <c r="C38" i="8" s="1"/>
  <c r="Q37" i="8"/>
  <c r="B37" i="8"/>
  <c r="C37" i="8" s="1" a="1"/>
  <c r="C37" i="8" s="1"/>
  <c r="Q36" i="8"/>
  <c r="B36" i="8"/>
  <c r="C36" i="8" s="1" a="1"/>
  <c r="C36" i="8" s="1"/>
  <c r="Q35" i="8"/>
  <c r="B35" i="8"/>
  <c r="C35" i="8" s="1" a="1"/>
  <c r="C35" i="8" s="1"/>
  <c r="Q34" i="8"/>
  <c r="B34" i="8"/>
  <c r="C34" i="8" s="1" a="1"/>
  <c r="C34" i="8" s="1"/>
  <c r="Q33" i="8"/>
  <c r="B33" i="8"/>
  <c r="C33" i="8" s="1" a="1"/>
  <c r="C33" i="8" s="1"/>
  <c r="Q32" i="8"/>
  <c r="B32" i="8"/>
  <c r="C32" i="8" s="1" a="1"/>
  <c r="C32" i="8" s="1"/>
  <c r="Q31" i="8"/>
  <c r="B31" i="8"/>
  <c r="C31" i="8" s="1" a="1"/>
  <c r="C31" i="8" s="1"/>
  <c r="Q30" i="8"/>
  <c r="B30" i="8"/>
  <c r="C30" i="8" s="1" a="1"/>
  <c r="C30" i="8" s="1"/>
  <c r="Q29" i="8"/>
  <c r="B29" i="8"/>
  <c r="C29" i="8" s="1" a="1"/>
  <c r="C29" i="8" s="1"/>
  <c r="Q28" i="8"/>
  <c r="B28" i="8"/>
  <c r="C28" i="8" s="1" a="1"/>
  <c r="C28" i="8" s="1"/>
  <c r="Q27" i="8"/>
  <c r="B27" i="8"/>
  <c r="C27" i="8" s="1" a="1"/>
  <c r="C27" i="8" s="1"/>
  <c r="Q26" i="8"/>
  <c r="B26" i="8"/>
  <c r="C26" i="8" s="1" a="1"/>
  <c r="C26" i="8" s="1"/>
  <c r="Q25" i="8"/>
  <c r="B25" i="8"/>
  <c r="C25" i="8" s="1" a="1"/>
  <c r="C25" i="8" s="1"/>
  <c r="Q24" i="8"/>
  <c r="B24" i="8"/>
  <c r="C24" i="8" s="1" a="1"/>
  <c r="C24" i="8" s="1"/>
  <c r="Q23" i="8"/>
  <c r="B23" i="8"/>
  <c r="C23" i="8" s="1" a="1"/>
  <c r="C23" i="8" s="1"/>
  <c r="Q22" i="8"/>
  <c r="B22" i="8"/>
  <c r="C22" i="8" s="1" a="1"/>
  <c r="C22" i="8" s="1"/>
  <c r="Q21" i="8"/>
  <c r="B21" i="8"/>
  <c r="C21" i="8" s="1" a="1"/>
  <c r="C21" i="8" s="1"/>
  <c r="Q20" i="8"/>
  <c r="B20" i="8"/>
  <c r="C20" i="8" s="1" a="1"/>
  <c r="C20" i="8" s="1"/>
  <c r="Q19" i="8"/>
  <c r="B19" i="8"/>
  <c r="C19" i="8" s="1" a="1"/>
  <c r="C19" i="8" s="1"/>
  <c r="Q18" i="8"/>
  <c r="B18" i="8"/>
  <c r="C18" i="8" s="1" a="1"/>
  <c r="C18" i="8" s="1"/>
  <c r="Q17" i="8"/>
  <c r="B17" i="8"/>
  <c r="C17" i="8" s="1" a="1"/>
  <c r="C17" i="8" s="1"/>
  <c r="Q16" i="8"/>
  <c r="B16" i="8"/>
  <c r="C16" i="8" s="1" a="1"/>
  <c r="C16" i="8" s="1"/>
  <c r="Q15" i="8"/>
  <c r="B15" i="8"/>
  <c r="C15" i="8" s="1" a="1"/>
  <c r="C15" i="8" s="1"/>
  <c r="Q14" i="8"/>
  <c r="B14" i="8"/>
  <c r="C14" i="8" s="1" a="1"/>
  <c r="C14" i="8" s="1"/>
  <c r="Q13" i="8"/>
  <c r="B13" i="8"/>
  <c r="C13" i="8" s="1" a="1"/>
  <c r="C13" i="8" s="1"/>
  <c r="Q12" i="8"/>
  <c r="B12" i="8"/>
  <c r="C12" i="8" s="1" a="1"/>
  <c r="C12" i="8" s="1"/>
  <c r="Q11" i="8"/>
  <c r="B11" i="8"/>
  <c r="C11" i="8" s="1" a="1"/>
  <c r="C11" i="8" s="1"/>
  <c r="Q10" i="8"/>
  <c r="B10" i="8"/>
  <c r="C10" i="8" s="1" a="1"/>
  <c r="C10" i="8" s="1"/>
  <c r="Q9" i="8"/>
  <c r="B9" i="8"/>
  <c r="C9" i="8" s="1" a="1"/>
  <c r="C9" i="8" s="1"/>
  <c r="Q8" i="8"/>
  <c r="B8" i="8"/>
  <c r="C8" i="8" s="1" a="1"/>
  <c r="C8" i="8" s="1"/>
  <c r="Q7" i="8"/>
  <c r="B7" i="8"/>
  <c r="C7" i="8" s="1" a="1"/>
  <c r="C7" i="8" s="1"/>
  <c r="Q6" i="8"/>
  <c r="B6" i="8"/>
  <c r="C6" i="8" s="1" a="1"/>
  <c r="C6" i="8" s="1"/>
  <c r="Q5" i="8"/>
  <c r="B5" i="8"/>
  <c r="C5" i="8" s="1" a="1"/>
  <c r="C5" i="8" s="1"/>
  <c r="Q4" i="8"/>
  <c r="B4" i="8"/>
  <c r="C4" i="8" s="1" a="1"/>
  <c r="C4" i="8" s="1"/>
  <c r="Q3" i="8"/>
  <c r="B3" i="8"/>
  <c r="C3" i="8" s="1" a="1"/>
  <c r="C3" i="8" s="1"/>
  <c r="Q2" i="8"/>
  <c r="B2" i="8"/>
  <c r="C2" i="8" s="1" a="1"/>
  <c r="C2" i="8" s="1"/>
  <c r="B24" i="1"/>
  <c r="B87" i="1"/>
  <c r="B69" i="1"/>
  <c r="B16" i="1"/>
  <c r="B7" i="1"/>
  <c r="B36" i="1"/>
  <c r="B42" i="1"/>
  <c r="B47" i="1"/>
  <c r="B101" i="1"/>
  <c r="B84" i="1"/>
  <c r="B63" i="1"/>
  <c r="B39" i="1"/>
  <c r="B17" i="1"/>
  <c r="B25" i="1"/>
  <c r="B97" i="1"/>
  <c r="B93" i="1"/>
  <c r="B76" i="1"/>
  <c r="B98" i="1"/>
  <c r="B100" i="1"/>
  <c r="B59" i="1"/>
  <c r="B33" i="1"/>
  <c r="B99" i="1"/>
  <c r="B3" i="1"/>
  <c r="B30" i="1"/>
  <c r="B53" i="1"/>
  <c r="B83" i="1"/>
  <c r="B20" i="1"/>
  <c r="B85" i="1"/>
  <c r="B44" i="1"/>
  <c r="B79" i="1"/>
  <c r="B35" i="1"/>
  <c r="B61" i="1"/>
  <c r="B82" i="1"/>
  <c r="B89" i="1"/>
  <c r="B19" i="1"/>
  <c r="B11" i="1"/>
  <c r="B67" i="1"/>
  <c r="B26" i="1"/>
  <c r="B73" i="1"/>
  <c r="B70" i="1"/>
  <c r="B55" i="1"/>
  <c r="B45" i="1"/>
  <c r="B29" i="1"/>
  <c r="B46" i="1"/>
  <c r="B56" i="1"/>
  <c r="B86" i="1"/>
  <c r="B31" i="1"/>
  <c r="B94" i="1"/>
  <c r="B50" i="1"/>
  <c r="B4" i="1"/>
  <c r="B77" i="1"/>
  <c r="B2" i="1"/>
  <c r="B64" i="1"/>
  <c r="B14" i="1"/>
  <c r="B52" i="1"/>
  <c r="B90" i="1"/>
  <c r="B6" i="1"/>
  <c r="B80" i="1"/>
  <c r="B21" i="1"/>
  <c r="B38" i="1"/>
  <c r="B15" i="1"/>
  <c r="B9" i="1"/>
  <c r="B5" i="1"/>
  <c r="B65" i="1"/>
  <c r="B66" i="1"/>
  <c r="B91" i="1"/>
  <c r="B12" i="1"/>
  <c r="B27" i="1"/>
  <c r="B40" i="1"/>
  <c r="B23" i="1"/>
  <c r="B51" i="1"/>
  <c r="B96" i="1"/>
  <c r="B60" i="1"/>
  <c r="B75" i="1"/>
  <c r="B48" i="1"/>
  <c r="B41" i="1"/>
  <c r="B92" i="1"/>
  <c r="B74" i="1"/>
  <c r="B34" i="1"/>
  <c r="B57" i="1"/>
  <c r="B88" i="1"/>
  <c r="B22" i="1"/>
  <c r="B18" i="1"/>
  <c r="B8" i="1"/>
  <c r="B72" i="1"/>
  <c r="B54" i="1"/>
  <c r="B95" i="1"/>
  <c r="B81" i="1"/>
  <c r="B71" i="1"/>
  <c r="B28" i="1"/>
  <c r="B10" i="1"/>
  <c r="B78" i="1"/>
  <c r="B13" i="1"/>
  <c r="B49" i="1"/>
  <c r="B32" i="1"/>
  <c r="B68" i="1"/>
  <c r="B62" i="1"/>
  <c r="B43" i="1"/>
  <c r="B58" i="1"/>
  <c r="B37" i="1"/>
  <c r="P94" i="1"/>
  <c r="P37" i="1"/>
  <c r="P50" i="1"/>
  <c r="P4" i="1"/>
  <c r="P77" i="1"/>
  <c r="P2" i="1"/>
  <c r="P24" i="1"/>
  <c r="P64" i="1"/>
  <c r="P87" i="1"/>
  <c r="P69" i="1"/>
  <c r="P16" i="1"/>
  <c r="P14" i="1"/>
  <c r="P52" i="1"/>
  <c r="P90" i="1"/>
  <c r="P7" i="1"/>
  <c r="P6" i="1"/>
  <c r="P36" i="1"/>
  <c r="P42" i="1"/>
  <c r="P80" i="1"/>
  <c r="P47" i="1"/>
  <c r="P21" i="1"/>
  <c r="P101" i="1"/>
  <c r="P84" i="1"/>
  <c r="P63" i="1"/>
  <c r="P38" i="1"/>
  <c r="P15" i="1"/>
  <c r="P9" i="1"/>
  <c r="P39" i="1"/>
  <c r="P5" i="1"/>
  <c r="P17" i="1"/>
  <c r="P65" i="1"/>
  <c r="P66" i="1"/>
  <c r="P25" i="1"/>
  <c r="P97" i="1"/>
  <c r="P93" i="1"/>
  <c r="P76" i="1"/>
  <c r="P98" i="1"/>
  <c r="P91" i="1"/>
  <c r="P12" i="1"/>
  <c r="P27" i="1"/>
  <c r="P40" i="1"/>
  <c r="P100" i="1"/>
  <c r="P59" i="1"/>
  <c r="P33" i="1"/>
  <c r="P99" i="1"/>
  <c r="P3" i="1"/>
  <c r="P23" i="1"/>
  <c r="P30" i="1"/>
  <c r="P53" i="1"/>
  <c r="P51" i="1"/>
  <c r="P96" i="1"/>
  <c r="P83" i="1"/>
  <c r="P60" i="1"/>
  <c r="P20" i="1"/>
  <c r="P75" i="1"/>
  <c r="P85" i="1"/>
  <c r="P44" i="1"/>
  <c r="P48" i="1"/>
  <c r="P41" i="1"/>
  <c r="P79" i="1"/>
  <c r="P92" i="1"/>
  <c r="P35" i="1"/>
  <c r="P74" i="1"/>
  <c r="P61" i="1"/>
  <c r="P82" i="1"/>
  <c r="P34" i="1"/>
  <c r="P57" i="1"/>
  <c r="P88" i="1"/>
  <c r="P22" i="1"/>
  <c r="P89" i="1"/>
  <c r="P18" i="1"/>
  <c r="P8" i="1"/>
  <c r="P72" i="1"/>
  <c r="P54" i="1"/>
  <c r="P19" i="1"/>
  <c r="P95" i="1"/>
  <c r="P81" i="1"/>
  <c r="P71" i="1"/>
  <c r="P11" i="1"/>
  <c r="P28" i="1"/>
  <c r="P10" i="1"/>
  <c r="P67" i="1"/>
  <c r="P26" i="1"/>
  <c r="P73" i="1"/>
  <c r="P70" i="1"/>
  <c r="P55" i="1"/>
  <c r="P45" i="1"/>
  <c r="P29" i="1"/>
  <c r="P46" i="1"/>
  <c r="P56" i="1"/>
  <c r="P78" i="1"/>
  <c r="P13" i="1"/>
  <c r="P49" i="1"/>
  <c r="P32" i="1"/>
  <c r="P68" i="1"/>
  <c r="P62" i="1"/>
  <c r="P86" i="1"/>
  <c r="P43" i="1"/>
  <c r="P58" i="1"/>
  <c r="P3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<sst xmlns="http://schemas.openxmlformats.org/spreadsheetml/2006/main" count="1299" uniqueCount="140">
  <si>
    <t>OrderDate</t>
  </si>
  <si>
    <t>Company</t>
  </si>
  <si>
    <t>Region</t>
  </si>
  <si>
    <t>Category</t>
  </si>
  <si>
    <t>Product</t>
  </si>
  <si>
    <t>Payment Method</t>
  </si>
  <si>
    <t>Quantity</t>
  </si>
  <si>
    <t>Per_Cost</t>
  </si>
  <si>
    <t>Sell Price</t>
  </si>
  <si>
    <t>Total Cost</t>
  </si>
  <si>
    <t>Total Revenue</t>
  </si>
  <si>
    <t>Profit</t>
  </si>
  <si>
    <t>Delivery Time (Days)</t>
  </si>
  <si>
    <t>Rate</t>
  </si>
  <si>
    <t>2024-04-11</t>
  </si>
  <si>
    <t>Nike</t>
  </si>
  <si>
    <t>Europe</t>
  </si>
  <si>
    <t>Apparel</t>
  </si>
  <si>
    <t>Jacket</t>
  </si>
  <si>
    <t>Credit Card</t>
  </si>
  <si>
    <t>2024-06-15</t>
  </si>
  <si>
    <t>Shoes</t>
  </si>
  <si>
    <t>Sneakers</t>
  </si>
  <si>
    <t>2024-11-04</t>
  </si>
  <si>
    <t>Adidas</t>
  </si>
  <si>
    <t>Asia</t>
  </si>
  <si>
    <t>2024-06-19</t>
  </si>
  <si>
    <t>South America</t>
  </si>
  <si>
    <t>Accessories</t>
  </si>
  <si>
    <t>Socks</t>
  </si>
  <si>
    <t>Bank Transfer</t>
  </si>
  <si>
    <t>2024-03-02</t>
  </si>
  <si>
    <t>2024-01-07</t>
  </si>
  <si>
    <t>North America</t>
  </si>
  <si>
    <t>2024-01-02</t>
  </si>
  <si>
    <t>Cap</t>
  </si>
  <si>
    <t>2024-09-03</t>
  </si>
  <si>
    <t>Cash</t>
  </si>
  <si>
    <t>2024-12-26</t>
  </si>
  <si>
    <t>Running Shoes</t>
  </si>
  <si>
    <t>2024-08-07</t>
  </si>
  <si>
    <t>2024-02-13</t>
  </si>
  <si>
    <t>2024-10-30</t>
  </si>
  <si>
    <t>T-shirt</t>
  </si>
  <si>
    <t>2024-10-02</t>
  </si>
  <si>
    <t>2024-07-19</t>
  </si>
  <si>
    <t>2024-02-15</t>
  </si>
  <si>
    <t>2024-05-02</t>
  </si>
  <si>
    <t>2024-04-16</t>
  </si>
  <si>
    <t>Hoodie</t>
  </si>
  <si>
    <t>2024-10-11</t>
  </si>
  <si>
    <t>2024-01-12</t>
  </si>
  <si>
    <t>2024-02-21</t>
  </si>
  <si>
    <t>2024-05-12</t>
  </si>
  <si>
    <t>2024-06-24</t>
  </si>
  <si>
    <t>2024-12-08</t>
  </si>
  <si>
    <t>2024-06-07</t>
  </si>
  <si>
    <t>2024-11-11</t>
  </si>
  <si>
    <t>2024-10-09</t>
  </si>
  <si>
    <t>2024-06-02</t>
  </si>
  <si>
    <t>Training Shoes</t>
  </si>
  <si>
    <t>2024-12-18</t>
  </si>
  <si>
    <t>2024-03-09</t>
  </si>
  <si>
    <t>2024-12-02</t>
  </si>
  <si>
    <t>2024-01-20</t>
  </si>
  <si>
    <t>2024-01-27</t>
  </si>
  <si>
    <t>2024-10-31</t>
  </si>
  <si>
    <t>2024-07-22</t>
  </si>
  <si>
    <t>2024-05-29</t>
  </si>
  <si>
    <t>Backpack</t>
  </si>
  <si>
    <t>2024-10-20</t>
  </si>
  <si>
    <t>2024-04-15</t>
  </si>
  <si>
    <t>2024-07-23</t>
  </si>
  <si>
    <t>2024-09-29</t>
  </si>
  <si>
    <t>2024-09-26</t>
  </si>
  <si>
    <t>2024-07-18</t>
  </si>
  <si>
    <t>2024-08-01</t>
  </si>
  <si>
    <t>2024-02-02</t>
  </si>
  <si>
    <t>2024-08-10</t>
  </si>
  <si>
    <t>2024-03-11</t>
  </si>
  <si>
    <t>2024-08-05</t>
  </si>
  <si>
    <t>2024-07-05</t>
  </si>
  <si>
    <t>2024-07-15</t>
  </si>
  <si>
    <t>2024-05-28</t>
  </si>
  <si>
    <t>2024-10-05</t>
  </si>
  <si>
    <t>2024-05-24</t>
  </si>
  <si>
    <t>2024-10-13</t>
  </si>
  <si>
    <t>2024-06-14</t>
  </si>
  <si>
    <t>2024-03-05</t>
  </si>
  <si>
    <t>2024-01-21</t>
  </si>
  <si>
    <t>2024-09-18</t>
  </si>
  <si>
    <t>2024-09-20</t>
  </si>
  <si>
    <t>2024-10-12</t>
  </si>
  <si>
    <t>2024-04-14</t>
  </si>
  <si>
    <t>2024-09-11</t>
  </si>
  <si>
    <t>2024-08-19</t>
  </si>
  <si>
    <t>2024-01-29</t>
  </si>
  <si>
    <t>2024-07-31</t>
  </si>
  <si>
    <t>2024-02-08</t>
  </si>
  <si>
    <t>2024-01-03</t>
  </si>
  <si>
    <t>2024-07-27</t>
  </si>
  <si>
    <t>2024-04-10</t>
  </si>
  <si>
    <t>2024-06-22</t>
  </si>
  <si>
    <t>2024-03-20</t>
  </si>
  <si>
    <t>2024-07-16</t>
  </si>
  <si>
    <t>2024-01-25</t>
  </si>
  <si>
    <t>2024-06-16</t>
  </si>
  <si>
    <t>2024-02-06</t>
  </si>
  <si>
    <t>2024-08-06</t>
  </si>
  <si>
    <t>2024-02-20</t>
  </si>
  <si>
    <t>2024-04-05</t>
  </si>
  <si>
    <t>2024-02-11</t>
  </si>
  <si>
    <t>2024-04-19</t>
  </si>
  <si>
    <t>2024-05-11</t>
  </si>
  <si>
    <t>2024-12-12</t>
  </si>
  <si>
    <t>2024-06-21</t>
  </si>
  <si>
    <t>2024-01-19</t>
  </si>
  <si>
    <t>2024-09-05</t>
  </si>
  <si>
    <t>Profit_Per</t>
  </si>
  <si>
    <t>Grand Total</t>
  </si>
  <si>
    <t>Values</t>
  </si>
  <si>
    <t xml:space="preserve">Profit </t>
  </si>
  <si>
    <t>Revenue</t>
  </si>
  <si>
    <t xml:space="preserve">Quantity </t>
  </si>
  <si>
    <t>Sum of Quantity</t>
  </si>
  <si>
    <t>Delivery Time(Days)</t>
  </si>
  <si>
    <t xml:space="preserve">Revenue </t>
  </si>
  <si>
    <t>Price</t>
  </si>
  <si>
    <t>OrderDay</t>
  </si>
  <si>
    <t>Sunday</t>
  </si>
  <si>
    <t>Monday</t>
  </si>
  <si>
    <t>Tuesday</t>
  </si>
  <si>
    <t>Wednesday</t>
  </si>
  <si>
    <t>Thursday</t>
  </si>
  <si>
    <t>Friday</t>
  </si>
  <si>
    <t>Saturday</t>
  </si>
  <si>
    <t>Day_Number</t>
  </si>
  <si>
    <t>Weekday</t>
  </si>
  <si>
    <t>Weekend</t>
  </si>
  <si>
    <t>WeekPart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</si>
</sst>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
  </numFmts>
  <fonts count="1" x14ac:knownFonts="1">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applyAlignment="1">
      <alignment horizontal="left" vertical="center"/>
    </xf>
    <xf numFmtId="164" fontId="0" fillId="0" borderId="0" xfId="0" applyNumberFormat="1" applyAlignment="1">
      <alignment horizontal="left" vertical="center"/>
    </xf>
    <xf numFmtId="0" fontId="0" fillId="2" borderId="0" xfId="0" applyFill="1" applyAlignment="1">
      <alignment horizontal="center" vertical="center"/>
    </xf>
    <xf numFmtId="164" fontId="0" fillId="2" borderId="0" xfId="0" applyNumberFormat="1" applyFill="1" applyAlignment="1">
      <alignment horizontal="center" vertical="center"/>
    </xf>
    <xf numFmtId="2" fontId="0" fillId="2" borderId="0" xfId="0" applyNumberFormat="1" applyFill="1" applyAlignment="1">
      <alignment horizontal="center" vertical="center"/>
    </xf>
    <xf numFmtId="2" fontId="0" fillId="0" borderId="0" xfId="0" applyNumberFormat="1" applyAlignment="1">
      <alignment horizontal="left" vertical="center"/>
    </xf>
    <xf numFmtId="0" fontId="0" fillId="2" borderId="0" xfId="0" applyFill="1" applyAlignment="1">
      <alignment horizontal="left" vertical="center"/>
    </xf>
    <xf numFmtId="0" fontId="0" fillId="0" borderId="0" xfId="0" pivotButton="1"/>
    <xf numFmtId="164" fontId="0" fillId="0" borderId="0" xfId="0" applyNumberFormat="1"/>
    <xf numFmtId="164" fontId="0" fillId="2" borderId="0" xfId="0" applyNumberFormat="1" applyFill="1"/>
    <xf numFmtId="0" fontId="0" fillId="2" borderId="0" xfId="0" applyFill="1"/>
    <xf numFmtId="165" fontId="0" fillId="0" borderId="0" xfId="0" applyNumberFormat="1"/>
    <xf numFmtId="1" fontId="0" fillId="0" borderId="0" xfId="0" applyNumberFormat="1"/>
    <xf numFmtId="0" fontId="0" fillId="3" borderId="0" xfId="0" applyFill="1"/>
  </cellXfs>
  <cellStyles count="1">
    <cellStyle name="Normal" xfId="0" builtinId="0"/>
  </cellStyles>
  <dxfs count="4">
    <dxf>
      <fill>
        <patternFill patternType="solid">
          <bgColor theme="0" tint="-0.14999847407452621"/>
        </patternFill>
      </fill>
    </dxf>
    <dxf>
      <numFmt numFmtId="1" formatCode="0"/>
    </dxf>
    <dxf>
      <numFmt numFmtId="165" formatCode="&quot;$&quot;#,##0.0"/>
    </dxf>
    <dxf>
      <numFmt numFmtId="166"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[nike_adidas_sales_dataset_with_sell_price.xlsx]Sheet1!RegionvsDays</c:name>
    <c:fmtId val="61"/>
  </c:pivotSource>
  <c:chart>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s>
    <c:plotArea>
      <c:layout/>
      <c:barChart>
        <c:barDir val="col"/>
        <c:grouping val="percentStacked"/>
        <c:varyColors val="0"/>
        <c:ser>
          <c:idx val="0"/>
          <c:order val="0"/>
          <c:tx>
            <c:strRef>
              <c:f>Sheet1!$B$43:$B$44</c:f>
              <c:strCache>
                <c:ptCount val="1"/>
                <c:pt idx="0">
                  <c:v>Asia</c:v>
                </c:pt>
              </c:strCache>
            </c:strRef>
          </c:tx>
          <c:spPr>
            <a:solidFill>
              <a:schemeClr val="accent1">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Sheet1!$B$45:$B$51</c:f>
              <c:numCache>
                <c:formatCode>General</c:formatCode>
                <c:ptCount val="7"/>
                <c:pt idx="0">
                  <c:v>17</c:v>
                </c:pt>
                <c:pt idx="1">
                  <c:v>14</c:v>
                </c:pt>
                <c:pt idx="2">
                  <c:v>26</c:v>
                </c:pt>
                <c:pt idx="3">
                  <c:v>10</c:v>
                </c:pt>
                <c:pt idx="4">
                  <c:v>15</c:v>
                </c:pt>
                <c:pt idx="5">
                  <c:v>8</c:v>
                </c:pt>
                <c:pt idx="6">
                  <c:v>12</c:v>
                </c:pt>
              </c:numCache>
            </c:numRef>
          </c:val>
          <c:extLst>
            <c:ext xmlns:c16="http://schemas.microsoft.com/office/drawing/2014/chart" uri="{C3380CC4-5D6E-409C-BE32-E72D297353CC}">
              <c16:uniqueId val="{00000000-2CA6-4288-B3A5-265C1713256B}"/>
            </c:ext>
          </c:extLst>
        </c:ser>
        <c:ser>
          <c:idx val="1"/>
          <c:order val="1"/>
          <c:tx>
            <c:strRef>
              <c:f>Sheet1!$C$43:$C$44</c:f>
              <c:strCache>
                <c:ptCount val="1"/>
                <c:pt idx="0">
                  <c:v>Europe</c:v>
                </c:pt>
              </c:strCache>
            </c:strRef>
          </c:tx>
          <c:spPr>
            <a:solidFill>
              <a:schemeClr val="accent6">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Sheet1!$C$45:$C$51</c:f>
              <c:numCache>
                <c:formatCode>General</c:formatCode>
                <c:ptCount val="7"/>
                <c:pt idx="0">
                  <c:v>34</c:v>
                </c:pt>
                <c:pt idx="1">
                  <c:v>16</c:v>
                </c:pt>
                <c:pt idx="2">
                  <c:v>26</c:v>
                </c:pt>
                <c:pt idx="3">
                  <c:v>21</c:v>
                </c:pt>
                <c:pt idx="4">
                  <c:v>22</c:v>
                </c:pt>
                <c:pt idx="5">
                  <c:v>28</c:v>
                </c:pt>
                <c:pt idx="6">
                  <c:v>16</c:v>
                </c:pt>
              </c:numCache>
            </c:numRef>
          </c:val>
          <c:extLst>
            <c:ext xmlns:c16="http://schemas.microsoft.com/office/drawing/2014/chart" uri="{C3380CC4-5D6E-409C-BE32-E72D297353CC}">
              <c16:uniqueId val="{00000001-2CA6-4288-B3A5-265C1713256B}"/>
            </c:ext>
          </c:extLst>
        </c:ser>
        <c:ser>
          <c:idx val="2"/>
          <c:order val="2"/>
          <c:tx>
            <c:strRef>
              <c:f>Sheet1!$D$43:$D$44</c:f>
              <c:strCache>
                <c:ptCount val="1"/>
                <c:pt idx="0">
                  <c:v>North America</c:v>
                </c:pt>
              </c:strCache>
            </c:strRef>
          </c:tx>
          <c:spPr>
            <a:solidFill>
              <a:schemeClr val="accent3">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Sheet1!$D$45:$D$51</c:f>
              <c:numCache>
                <c:formatCode>General</c:formatCode>
                <c:ptCount val="7"/>
                <c:pt idx="0">
                  <c:v>22</c:v>
                </c:pt>
                <c:pt idx="1">
                  <c:v>17</c:v>
                </c:pt>
                <c:pt idx="2">
                  <c:v>14</c:v>
                </c:pt>
                <c:pt idx="3">
                  <c:v>16</c:v>
                </c:pt>
                <c:pt idx="4">
                  <c:v>9</c:v>
                </c:pt>
                <c:pt idx="5">
                  <c:v>17</c:v>
                </c:pt>
                <c:pt idx="6">
                  <c:v>21</c:v>
                </c:pt>
              </c:numCache>
            </c:numRef>
          </c:val>
          <c:extLst>
            <c:ext xmlns:c16="http://schemas.microsoft.com/office/drawing/2014/chart" uri="{C3380CC4-5D6E-409C-BE32-E72D297353CC}">
              <c16:uniqueId val="{00000002-2CA6-4288-B3A5-265C1713256B}"/>
            </c:ext>
          </c:extLst>
        </c:ser>
        <c:ser>
          <c:idx val="3"/>
          <c:order val="3"/>
          <c:tx>
            <c:strRef>
              <c:f>Sheet1!$E$43:$E$44</c:f>
              <c:strCache>
                <c:ptCount val="1"/>
                <c:pt idx="0">
                  <c:v>South America</c:v>
                </c:pt>
              </c:strCache>
            </c:strRef>
          </c:tx>
          <c:spPr>
            <a:solidFill>
              <a:schemeClr val="accent4">
                <a:lumMod val="40000"/>
                <a:lumOff val="6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Sheet1!$E$45:$E$51</c:f>
              <c:numCache>
                <c:formatCode>General</c:formatCode>
                <c:ptCount val="7"/>
                <c:pt idx="0">
                  <c:v>13</c:v>
                </c:pt>
                <c:pt idx="1">
                  <c:v>8</c:v>
                </c:pt>
                <c:pt idx="2">
                  <c:v>19</c:v>
                </c:pt>
                <c:pt idx="3">
                  <c:v>44</c:v>
                </c:pt>
                <c:pt idx="4">
                  <c:v>21</c:v>
                </c:pt>
                <c:pt idx="5">
                  <c:v>5</c:v>
                </c:pt>
                <c:pt idx="6">
                  <c:v>7</c:v>
                </c:pt>
              </c:numCache>
            </c:numRef>
          </c:val>
          <c:extLst>
            <c:ext xmlns:c16="http://schemas.microsoft.com/office/drawing/2014/chart" uri="{C3380CC4-5D6E-409C-BE32-E72D297353CC}">
              <c16:uniqueId val="{00000003-2CA6-4288-B3A5-265C1713256B}"/>
            </c:ext>
          </c:extLst>
        </c:ser>
        <c:dLbls>
          <c:showLegendKey val="0"/>
          <c:showVal val="0"/>
          <c:showCatName val="0"/>
          <c:showSerName val="0"/>
          <c:showPercent val="0"/>
          <c:showBubbleSize val="0"/>
        </c:dLbls>
        <c:gapWidth val="150"/>
        <c:overlap val="100"/>
        <c:axId val="397033888"/>
        <c:axId val="397020448"/>
      </c:barChart>
      <c:catAx>
        <c:axId val="3970338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7020448"/>
        <c:crosses val="autoZero"/>
        <c:auto val="1"/>
        <c:lblAlgn val="ctr"/>
        <c:lblOffset val="100"/>
        <c:noMultiLvlLbl val="0"/>
      </c:catAx>
      <c:valAx>
        <c:axId val="397020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3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20957243826725E-2"/>
          <c:y val="3.4591194968553458E-2"/>
          <c:w val="0.94978245486438795"/>
          <c:h val="0.76230104491655526"/>
        </c:manualLayout>
      </c:layout>
      <c:barChart>
        <c:barDir val="col"/>
        <c:grouping val="clustered"/>
        <c:varyColors val="0"/>
        <c:ser>
          <c:idx val="0"/>
          <c:order val="0"/>
          <c:tx>
            <c:v>Nike</c:v>
          </c:tx>
          <c:spPr>
            <a:solidFill>
              <a:schemeClr val="tx2">
                <a:lumMod val="20000"/>
                <a:lumOff val="80000"/>
              </a:schemeClr>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59</c:v>
              </c:pt>
              <c:pt idx="1">
                <c:v>27</c:v>
              </c:pt>
              <c:pt idx="2">
                <c:v>40</c:v>
              </c:pt>
              <c:pt idx="3">
                <c:v>46</c:v>
              </c:pt>
              <c:pt idx="4">
                <c:v>36</c:v>
              </c:pt>
              <c:pt idx="5">
                <c:v>15</c:v>
              </c:pt>
              <c:pt idx="6">
                <c:v>28</c:v>
              </c:pt>
            </c:numLit>
          </c:val>
          <c:extLst>
            <c:ext xmlns:c16="http://schemas.microsoft.com/office/drawing/2014/chart" uri="{C3380CC4-5D6E-409C-BE32-E72D297353CC}">
              <c16:uniqueId val="{00000000-9637-4129-80E6-91186315C404}"/>
            </c:ext>
          </c:extLst>
        </c:ser>
        <c:ser>
          <c:idx val="1"/>
          <c:order val="1"/>
          <c:tx>
            <c:v>Adidas</c:v>
          </c:tx>
          <c:spPr>
            <a:solidFill>
              <a:schemeClr val="bg1">
                <a:lumMod val="85000"/>
              </a:schemeClr>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27</c:v>
              </c:pt>
              <c:pt idx="1">
                <c:v>28</c:v>
              </c:pt>
              <c:pt idx="2">
                <c:v>45</c:v>
              </c:pt>
              <c:pt idx="3">
                <c:v>45</c:v>
              </c:pt>
              <c:pt idx="4">
                <c:v>31</c:v>
              </c:pt>
              <c:pt idx="5">
                <c:v>43</c:v>
              </c:pt>
              <c:pt idx="6">
                <c:v>28</c:v>
              </c:pt>
            </c:numLit>
          </c:val>
          <c:extLst>
            <c:ext xmlns:c16="http://schemas.microsoft.com/office/drawing/2014/chart" uri="{C3380CC4-5D6E-409C-BE32-E72D297353CC}">
              <c16:uniqueId val="{00000005-9637-4129-80E6-91186315C404}"/>
            </c:ext>
          </c:extLst>
        </c:ser>
        <c:dLbls>
          <c:showLegendKey val="0"/>
          <c:showVal val="0"/>
          <c:showCatName val="0"/>
          <c:showSerName val="0"/>
          <c:showPercent val="0"/>
          <c:showBubbleSize val="0"/>
        </c:dLbls>
        <c:gapWidth val="150"/>
        <c:axId val="627729120"/>
        <c:axId val="627729600"/>
      </c:barChart>
      <c:catAx>
        <c:axId val="6277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7729600"/>
        <c:crosses val="autoZero"/>
        <c:auto val="1"/>
        <c:lblAlgn val="ctr"/>
        <c:lblOffset val="100"/>
        <c:noMultiLvlLbl val="0"/>
      </c:catAx>
      <c:valAx>
        <c:axId val="62772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29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[nike_adidas_sales_dataset_with_sell_price.xlsx]Sheet1!PivotTable7</c:name>
    <c:fmtId val="7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tx2">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BF5-4DA9-AAFC-25F1D6B4E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F5-4DA9-AAFC-25F1D6B4E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C2-486D-B525-5492DC1960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C2-486D-B525-5492DC1960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C2-486D-B525-5492DC1960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C2-486D-B525-5492DC1960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C2-486D-B525-5492DC1960C9}"/>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Sheet1!$A$90:$A$96</c:f>
              <c:strCache>
                <c:ptCount val="7"/>
                <c:pt idx="0">
                  <c:v>Sunday</c:v>
                </c:pt>
                <c:pt idx="1">
                  <c:v>Monday</c:v>
                </c:pt>
                <c:pt idx="2">
                  <c:v>Tuesday</c:v>
                </c:pt>
                <c:pt idx="3">
                  <c:v>Wednesday</c:v>
                </c:pt>
                <c:pt idx="4">
                  <c:v>Thursday</c:v>
                </c:pt>
                <c:pt idx="5">
                  <c:v>Friday</c:v>
                </c:pt>
                <c:pt idx="6">
                  <c:v>Saturday</c:v>
                </c:pt>
              </c:strCache>
            </c:strRef>
          </c:cat>
          <c:val>
            <c:numRef>
              <c:f>Sheet1!$B$90:$B$96</c:f>
              <c:numCache>
                <c:formatCode>General</c:formatCode>
                <c:ptCount val="7"/>
                <c:pt idx="0">
                  <c:v>56</c:v>
                </c:pt>
                <c:pt idx="1">
                  <c:v>86</c:v>
                </c:pt>
                <c:pt idx="2">
                  <c:v>55</c:v>
                </c:pt>
                <c:pt idx="3">
                  <c:v>85</c:v>
                </c:pt>
                <c:pt idx="4">
                  <c:v>91</c:v>
                </c:pt>
                <c:pt idx="5">
                  <c:v>67</c:v>
                </c:pt>
                <c:pt idx="6">
                  <c:v>58</c:v>
                </c:pt>
              </c:numCache>
            </c:numRef>
          </c:val>
          <c:extLst>
            <c:ext xmlns:c16="http://schemas.microsoft.com/office/drawing/2014/chart" uri="{C3380CC4-5D6E-409C-BE32-E72D297353CC}">
              <c16:uniqueId val="{00000000-3BF5-4DA9-AAFC-25F1D6B4EE6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Volume by Day: Adidas vs Nike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0000"/>
              <a:lumOff val="80000"/>
            </a:schemeClr>
          </a:solidFill>
          <a:ln>
            <a:noFill/>
          </a:ln>
          <a:effectLst/>
        </c:spPr>
      </c:pivotFmt>
      <c:pivotFmt>
        <c:idx val="7"/>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5260699719293E-2"/>
          <c:y val="1.9102643812538126E-2"/>
          <c:w val="0.94978245486438795"/>
          <c:h val="0.76230104491655526"/>
        </c:manualLayout>
      </c:layout>
      <c:barChart>
        <c:barDir val="col"/>
        <c:grouping val="clustered"/>
        <c:varyColors val="0"/>
        <c:ser>
          <c:idx val="0"/>
          <c:order val="0"/>
          <c:tx>
            <c:v>Nike</c:v>
          </c:tx>
          <c:spPr>
            <a:solidFill>
              <a:schemeClr val="tx2">
                <a:lumMod val="20000"/>
                <a:lumOff val="80000"/>
              </a:schemeClr>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59</c:v>
              </c:pt>
              <c:pt idx="1">
                <c:v>27</c:v>
              </c:pt>
              <c:pt idx="2">
                <c:v>40</c:v>
              </c:pt>
              <c:pt idx="3">
                <c:v>46</c:v>
              </c:pt>
              <c:pt idx="4">
                <c:v>36</c:v>
              </c:pt>
              <c:pt idx="5">
                <c:v>15</c:v>
              </c:pt>
              <c:pt idx="6">
                <c:v>28</c:v>
              </c:pt>
            </c:numLit>
          </c:val>
          <c:extLst>
            <c:ext xmlns:c16="http://schemas.microsoft.com/office/drawing/2014/chart" uri="{C3380CC4-5D6E-409C-BE32-E72D297353CC}">
              <c16:uniqueId val="{00000000-1DDF-410E-BB63-386914983586}"/>
            </c:ext>
          </c:extLst>
        </c:ser>
        <c:ser>
          <c:idx val="1"/>
          <c:order val="1"/>
          <c:tx>
            <c:v>Adidas</c:v>
          </c:tx>
          <c:spPr>
            <a:solidFill>
              <a:schemeClr val="bg1">
                <a:lumMod val="85000"/>
              </a:schemeClr>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27</c:v>
              </c:pt>
              <c:pt idx="1">
                <c:v>28</c:v>
              </c:pt>
              <c:pt idx="2">
                <c:v>45</c:v>
              </c:pt>
              <c:pt idx="3">
                <c:v>45</c:v>
              </c:pt>
              <c:pt idx="4">
                <c:v>31</c:v>
              </c:pt>
              <c:pt idx="5">
                <c:v>43</c:v>
              </c:pt>
              <c:pt idx="6">
                <c:v>28</c:v>
              </c:pt>
            </c:numLit>
          </c:val>
          <c:extLst>
            <c:ext xmlns:c16="http://schemas.microsoft.com/office/drawing/2014/chart" uri="{C3380CC4-5D6E-409C-BE32-E72D297353CC}">
              <c16:uniqueId val="{00000001-1DDF-410E-BB63-386914983586}"/>
            </c:ext>
          </c:extLst>
        </c:ser>
        <c:dLbls>
          <c:showLegendKey val="0"/>
          <c:showVal val="0"/>
          <c:showCatName val="0"/>
          <c:showSerName val="0"/>
          <c:showPercent val="0"/>
          <c:showBubbleSize val="0"/>
        </c:dLbls>
        <c:gapWidth val="150"/>
        <c:axId val="627729120"/>
        <c:axId val="627729600"/>
      </c:barChart>
      <c:catAx>
        <c:axId val="6277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7729600"/>
        <c:crosses val="autoZero"/>
        <c:auto val="1"/>
        <c:lblAlgn val="ctr"/>
        <c:lblOffset val="100"/>
        <c:noMultiLvlLbl val="0"/>
      </c:catAx>
      <c:valAx>
        <c:axId val="62772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29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[nike_adidas_sales_dataset_with_sell_price.xlsx]Sheet1!RegionvsDays</c:name>
    <c:fmtId val="7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Regional Sales Distribution by Day</a:t>
            </a:r>
            <a:endParaRPr lang="en-US" sz="1800" b="1" baseline="0"/>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pivotFmt>
      <c:pivotFmt>
        <c:idx val="5"/>
        <c:spPr>
          <a:solidFill>
            <a:schemeClr val="accent4">
              <a:lumMod val="40000"/>
              <a:lumOff val="6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Sheet1!$B$43:$B$44</c:f>
              <c:strCache>
                <c:ptCount val="1"/>
                <c:pt idx="0">
                  <c:v>Asia</c:v>
                </c:pt>
              </c:strCache>
            </c:strRef>
          </c:tx>
          <c:spPr>
            <a:solidFill>
              <a:schemeClr val="accent1">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Sheet1!$B$45:$B$51</c:f>
              <c:numCache>
                <c:formatCode>General</c:formatCode>
                <c:ptCount val="7"/>
                <c:pt idx="0">
                  <c:v>17</c:v>
                </c:pt>
                <c:pt idx="1">
                  <c:v>14</c:v>
                </c:pt>
                <c:pt idx="2">
                  <c:v>26</c:v>
                </c:pt>
                <c:pt idx="3">
                  <c:v>10</c:v>
                </c:pt>
                <c:pt idx="4">
                  <c:v>15</c:v>
                </c:pt>
                <c:pt idx="5">
                  <c:v>8</c:v>
                </c:pt>
                <c:pt idx="6">
                  <c:v>12</c:v>
                </c:pt>
              </c:numCache>
            </c:numRef>
          </c:val>
          <c:extLst>
            <c:ext xmlns:c16="http://schemas.microsoft.com/office/drawing/2014/chart" uri="{C3380CC4-5D6E-409C-BE32-E72D297353CC}">
              <c16:uniqueId val="{00000000-A794-4E77-8E8F-BEB7303C5F7A}"/>
            </c:ext>
          </c:extLst>
        </c:ser>
        <c:ser>
          <c:idx val="1"/>
          <c:order val="1"/>
          <c:tx>
            <c:strRef>
              <c:f>Sheet1!$C$43:$C$44</c:f>
              <c:strCache>
                <c:ptCount val="1"/>
                <c:pt idx="0">
                  <c:v>Europe</c:v>
                </c:pt>
              </c:strCache>
            </c:strRef>
          </c:tx>
          <c:spPr>
            <a:solidFill>
              <a:schemeClr val="accent6">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Sheet1!$C$45:$C$51</c:f>
              <c:numCache>
                <c:formatCode>General</c:formatCode>
                <c:ptCount val="7"/>
                <c:pt idx="0">
                  <c:v>34</c:v>
                </c:pt>
                <c:pt idx="1">
                  <c:v>16</c:v>
                </c:pt>
                <c:pt idx="2">
                  <c:v>26</c:v>
                </c:pt>
                <c:pt idx="3">
                  <c:v>21</c:v>
                </c:pt>
                <c:pt idx="4">
                  <c:v>22</c:v>
                </c:pt>
                <c:pt idx="5">
                  <c:v>28</c:v>
                </c:pt>
                <c:pt idx="6">
                  <c:v>16</c:v>
                </c:pt>
              </c:numCache>
            </c:numRef>
          </c:val>
          <c:extLst>
            <c:ext xmlns:c16="http://schemas.microsoft.com/office/drawing/2014/chart" uri="{C3380CC4-5D6E-409C-BE32-E72D297353CC}">
              <c16:uniqueId val="{00000001-A794-4E77-8E8F-BEB7303C5F7A}"/>
            </c:ext>
          </c:extLst>
        </c:ser>
        <c:ser>
          <c:idx val="2"/>
          <c:order val="2"/>
          <c:tx>
            <c:strRef>
              <c:f>Sheet1!$D$43:$D$44</c:f>
              <c:strCache>
                <c:ptCount val="1"/>
                <c:pt idx="0">
                  <c:v>North America</c:v>
                </c:pt>
              </c:strCache>
            </c:strRef>
          </c:tx>
          <c:spPr>
            <a:solidFill>
              <a:schemeClr val="accent3">
                <a:lumMod val="60000"/>
                <a:lumOff val="4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Sheet1!$D$45:$D$51</c:f>
              <c:numCache>
                <c:formatCode>General</c:formatCode>
                <c:ptCount val="7"/>
                <c:pt idx="0">
                  <c:v>22</c:v>
                </c:pt>
                <c:pt idx="1">
                  <c:v>17</c:v>
                </c:pt>
                <c:pt idx="2">
                  <c:v>14</c:v>
                </c:pt>
                <c:pt idx="3">
                  <c:v>16</c:v>
                </c:pt>
                <c:pt idx="4">
                  <c:v>9</c:v>
                </c:pt>
                <c:pt idx="5">
                  <c:v>17</c:v>
                </c:pt>
                <c:pt idx="6">
                  <c:v>21</c:v>
                </c:pt>
              </c:numCache>
            </c:numRef>
          </c:val>
          <c:extLst>
            <c:ext xmlns:c16="http://schemas.microsoft.com/office/drawing/2014/chart" uri="{C3380CC4-5D6E-409C-BE32-E72D297353CC}">
              <c16:uniqueId val="{00000002-A794-4E77-8E8F-BEB7303C5F7A}"/>
            </c:ext>
          </c:extLst>
        </c:ser>
        <c:ser>
          <c:idx val="3"/>
          <c:order val="3"/>
          <c:tx>
            <c:strRef>
              <c:f>Sheet1!$E$43:$E$44</c:f>
              <c:strCache>
                <c:ptCount val="1"/>
                <c:pt idx="0">
                  <c:v>South America</c:v>
                </c:pt>
              </c:strCache>
            </c:strRef>
          </c:tx>
          <c:spPr>
            <a:solidFill>
              <a:schemeClr val="accent4">
                <a:lumMod val="40000"/>
                <a:lumOff val="60000"/>
              </a:schemeClr>
            </a:solidFill>
            <a:ln>
              <a:noFill/>
            </a:ln>
            <a:effectLst/>
          </c:spPr>
          <c:invertIfNegative val="0"/>
          <c:cat>
            <c:strRef>
              <c:f>Sheet1!$A$45:$A$51</c:f>
              <c:strCache>
                <c:ptCount val="7"/>
                <c:pt idx="0">
                  <c:v>Monday</c:v>
                </c:pt>
                <c:pt idx="1">
                  <c:v>Tuesday</c:v>
                </c:pt>
                <c:pt idx="2">
                  <c:v>Wednesday</c:v>
                </c:pt>
                <c:pt idx="3">
                  <c:v>Thursday</c:v>
                </c:pt>
                <c:pt idx="4">
                  <c:v>Friday</c:v>
                </c:pt>
                <c:pt idx="5">
                  <c:v>Saturday</c:v>
                </c:pt>
                <c:pt idx="6">
                  <c:v>Sunday</c:v>
                </c:pt>
              </c:strCache>
            </c:strRef>
          </c:cat>
          <c:val>
            <c:numRef>
              <c:f>Sheet1!$E$45:$E$51</c:f>
              <c:numCache>
                <c:formatCode>General</c:formatCode>
                <c:ptCount val="7"/>
                <c:pt idx="0">
                  <c:v>13</c:v>
                </c:pt>
                <c:pt idx="1">
                  <c:v>8</c:v>
                </c:pt>
                <c:pt idx="2">
                  <c:v>19</c:v>
                </c:pt>
                <c:pt idx="3">
                  <c:v>44</c:v>
                </c:pt>
                <c:pt idx="4">
                  <c:v>21</c:v>
                </c:pt>
                <c:pt idx="5">
                  <c:v>5</c:v>
                </c:pt>
                <c:pt idx="6">
                  <c:v>7</c:v>
                </c:pt>
              </c:numCache>
            </c:numRef>
          </c:val>
          <c:extLst>
            <c:ext xmlns:c16="http://schemas.microsoft.com/office/drawing/2014/chart" uri="{C3380CC4-5D6E-409C-BE32-E72D297353CC}">
              <c16:uniqueId val="{00000003-A794-4E77-8E8F-BEB7303C5F7A}"/>
            </c:ext>
          </c:extLst>
        </c:ser>
        <c:dLbls>
          <c:showLegendKey val="0"/>
          <c:showVal val="0"/>
          <c:showCatName val="0"/>
          <c:showSerName val="0"/>
          <c:showPercent val="0"/>
          <c:showBubbleSize val="0"/>
        </c:dLbls>
        <c:gapWidth val="150"/>
        <c:overlap val="100"/>
        <c:axId val="397033888"/>
        <c:axId val="397020448"/>
      </c:barChart>
      <c:catAx>
        <c:axId val="3970338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7020448"/>
        <c:crosses val="autoZero"/>
        <c:auto val="1"/>
        <c:lblAlgn val="ctr"/>
        <c:lblOffset val="100"/>
        <c:noMultiLvlLbl val="0"/>
      </c:catAx>
      <c:valAx>
        <c:axId val="397020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33888"/>
        <c:crosses val="autoZero"/>
        <c:crossBetween val="between"/>
      </c:valAx>
      <c:spPr>
        <a:noFill/>
        <a:ln>
          <a:noFill/>
        </a:ln>
        <a:effectLst/>
      </c:spPr>
    </c:plotArea>
    <c:legend>
      <c:legendPos val="b"/>
      <c:layout>
        <c:manualLayout>
          <c:xMode val="edge"/>
          <c:yMode val="edge"/>
          <c:x val="0.30860078227748644"/>
          <c:y val="0.93267497810593814"/>
          <c:w val="0.40810559607380964"/>
          <c:h val="4.96660909360786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[nike_adidas_sales_dataset_with_sell_price.xlsx]Daily Performance !PivotTable12</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Weekpart Sales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20000"/>
              <a:lumOff val="80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s>
    <c:plotArea>
      <c:layout/>
      <c:pieChart>
        <c:varyColors val="1"/>
        <c:ser>
          <c:idx val="0"/>
          <c:order val="0"/>
          <c:tx>
            <c:strRef>
              <c:f>'Daily Performance '!$S$1</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745-4807-9E7C-991C7FE6CBAE}"/>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2-ECDF-4D7C-8253-B724BE1E5EB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'Daily Performance '!$R$2:$R$4</c:f>
              <c:strCache>
                <c:ptCount val="2"/>
                <c:pt idx="0">
                  <c:v>Weekday</c:v>
                </c:pt>
                <c:pt idx="1">
                  <c:v>Weekend</c:v>
                </c:pt>
              </c:strCache>
            </c:strRef>
          </c:cat>
          <c:val>
            <c:numRef>
              <c:f>'Daily Performance '!$S$2:$S$4</c:f>
              <c:numCache>
                <c:formatCode>General</c:formatCode>
                <c:ptCount val="2"/>
                <c:pt idx="0">
                  <c:v>384</c:v>
                </c:pt>
                <c:pt idx="1">
                  <c:v>114</c:v>
                </c:pt>
              </c:numCache>
            </c:numRef>
          </c:val>
          <c:extLst>
            <c:ext xmlns:c16="http://schemas.microsoft.com/office/drawing/2014/chart" uri="{C3380CC4-5D6E-409C-BE32-E72D297353CC}">
              <c16:uniqueId val="{00000000-ECDF-4D7C-8253-B724BE1E5E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[nike_adidas_sales_dataset_with_sell_price.xlsx]Sheet1!RegionTable</c:name>
    <c:fmtId val="4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Regional Sales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7"/>
          <c:spPr>
            <a:solidFill>
              <a:schemeClr val="bg1"/>
            </a:solidFill>
            <a:ln w="9525">
              <a:solidFill>
                <a:schemeClr val="accent1">
                  <a:shade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0000"/>
              <a:lumOff val="8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7"/>
          <c:spPr>
            <a:solidFill>
              <a:schemeClr val="bg1"/>
            </a:solidFill>
            <a:ln w="9525">
              <a:solidFill>
                <a:schemeClr val="accent1">
                  <a:shade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0000"/>
              <a:lumOff val="8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square"/>
          <c:size val="7"/>
          <c:spPr>
            <a:solidFill>
              <a:schemeClr val="bg1"/>
            </a:solidFill>
            <a:ln w="9525">
              <a:solidFill>
                <a:schemeClr val="accent1">
                  <a:shade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Sheet1!$C$12</c:f>
              <c:strCache>
                <c:ptCount val="1"/>
                <c:pt idx="0">
                  <c:v>Profit </c:v>
                </c:pt>
              </c:strCache>
            </c:strRef>
          </c:tx>
          <c:spPr>
            <a:solidFill>
              <a:schemeClr val="accent3">
                <a:lumMod val="60000"/>
                <a:lumOff val="40000"/>
              </a:schemeClr>
            </a:solidFill>
            <a:ln>
              <a:noFill/>
            </a:ln>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Sheet1!$A$13:$A$17</c:f>
              <c:strCache>
                <c:ptCount val="4"/>
                <c:pt idx="0">
                  <c:v>Asia</c:v>
                </c:pt>
                <c:pt idx="1">
                  <c:v>Europe</c:v>
                </c:pt>
                <c:pt idx="2">
                  <c:v>North America</c:v>
                </c:pt>
                <c:pt idx="3">
                  <c:v>South America</c:v>
                </c:pt>
              </c:strCache>
            </c:strRef>
          </c:cat>
          <c:val>
            <c:numRef>
              <c:f>Sheet1!$C$13:$C$17</c:f>
              <c:numCache>
                <c:formatCode>"$"#,##0.0</c:formatCode>
                <c:ptCount val="4"/>
                <c:pt idx="0">
                  <c:v>161.41086956521741</c:v>
                </c:pt>
                <c:pt idx="1">
                  <c:v>211.83300000000003</c:v>
                </c:pt>
                <c:pt idx="2">
                  <c:v>225.98000000000002</c:v>
                </c:pt>
                <c:pt idx="3">
                  <c:v>177.42555555555549</c:v>
                </c:pt>
              </c:numCache>
            </c:numRef>
          </c:val>
          <c:extLst>
            <c:ext xmlns:c16="http://schemas.microsoft.com/office/drawing/2014/chart" uri="{C3380CC4-5D6E-409C-BE32-E72D297353CC}">
              <c16:uniqueId val="{00000000-A8CE-4462-9502-4413BF864D6E}"/>
            </c:ext>
          </c:extLst>
        </c:ser>
        <c:ser>
          <c:idx val="2"/>
          <c:order val="2"/>
          <c:tx>
            <c:strRef>
              <c:f>Sheet1!$D$12</c:f>
              <c:strCache>
                <c:ptCount val="1"/>
                <c:pt idx="0">
                  <c:v>Revenue </c:v>
                </c:pt>
              </c:strCache>
            </c:strRef>
          </c:tx>
          <c:spPr>
            <a:solidFill>
              <a:schemeClr val="tx2">
                <a:lumMod val="20000"/>
                <a:lumOff val="80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Sheet1!$A$13:$A$17</c:f>
              <c:strCache>
                <c:ptCount val="4"/>
                <c:pt idx="0">
                  <c:v>Asia</c:v>
                </c:pt>
                <c:pt idx="1">
                  <c:v>Europe</c:v>
                </c:pt>
                <c:pt idx="2">
                  <c:v>North America</c:v>
                </c:pt>
                <c:pt idx="3">
                  <c:v>South America</c:v>
                </c:pt>
              </c:strCache>
            </c:strRef>
          </c:cat>
          <c:val>
            <c:numRef>
              <c:f>Sheet1!$D$13:$D$17</c:f>
              <c:numCache>
                <c:formatCode>"$"#,##0.00</c:formatCode>
                <c:ptCount val="4"/>
                <c:pt idx="0">
                  <c:v>465.86565217391302</c:v>
                </c:pt>
                <c:pt idx="1">
                  <c:v>568.02</c:v>
                </c:pt>
                <c:pt idx="2">
                  <c:v>631.9849999999999</c:v>
                </c:pt>
                <c:pt idx="3">
                  <c:v>500.76333333333338</c:v>
                </c:pt>
              </c:numCache>
            </c:numRef>
          </c:val>
          <c:extLst>
            <c:ext xmlns:c16="http://schemas.microsoft.com/office/drawing/2014/chart" uri="{C3380CC4-5D6E-409C-BE32-E72D297353CC}">
              <c16:uniqueId val="{00000001-A8CE-4462-9502-4413BF864D6E}"/>
            </c:ext>
          </c:extLst>
        </c:ser>
        <c:dLbls>
          <c:showLegendKey val="0"/>
          <c:showVal val="0"/>
          <c:showCatName val="0"/>
          <c:showSerName val="0"/>
          <c:showPercent val="0"/>
          <c:showBubbleSize val="0"/>
        </c:dLbls>
        <c:gapWidth val="219"/>
        <c:axId val="1031957855"/>
        <c:axId val="1031946335"/>
      </c:barChart>
      <c:lineChart>
        <c:grouping val="standard"/>
        <c:varyColors val="0"/>
        <c:ser>
          <c:idx val="0"/>
          <c:order val="0"/>
          <c:tx>
            <c:strRef>
              <c:f>Sheet1!$B$12</c:f>
              <c:strCache>
                <c:ptCount val="1"/>
                <c:pt idx="0">
                  <c:v>Delivery Time(Days)</c:v>
                </c:pt>
              </c:strCache>
            </c:strRef>
          </c:tx>
          <c:spPr>
            <a:ln w="28575" cap="rnd">
              <a:solidFill>
                <a:schemeClr val="accent1"/>
              </a:solidFill>
              <a:round/>
            </a:ln>
            <a:effectLst/>
          </c:spPr>
          <c:marker>
            <c:symbol val="square"/>
            <c:size val="7"/>
            <c:spPr>
              <a:solidFill>
                <a:schemeClr val="bg1"/>
              </a:solidFill>
              <a:ln w="9525">
                <a:solidFill>
                  <a:schemeClr val="accent1">
                    <a:shade val="1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Sheet1!$A$13:$A$17</c:f>
              <c:strCache>
                <c:ptCount val="4"/>
                <c:pt idx="0">
                  <c:v>Asia</c:v>
                </c:pt>
                <c:pt idx="1">
                  <c:v>Europe</c:v>
                </c:pt>
                <c:pt idx="2">
                  <c:v>North America</c:v>
                </c:pt>
                <c:pt idx="3">
                  <c:v>South America</c:v>
                </c:pt>
              </c:strCache>
            </c:strRef>
          </c:cat>
          <c:val>
            <c:numRef>
              <c:f>Sheet1!$B$13:$B$17</c:f>
              <c:numCache>
                <c:formatCode>0</c:formatCode>
                <c:ptCount val="4"/>
                <c:pt idx="0">
                  <c:v>4.9565217391304346</c:v>
                </c:pt>
                <c:pt idx="1">
                  <c:v>4.4333333333333336</c:v>
                </c:pt>
                <c:pt idx="2">
                  <c:v>3.7</c:v>
                </c:pt>
                <c:pt idx="3">
                  <c:v>3.4444444444444446</c:v>
                </c:pt>
              </c:numCache>
            </c:numRef>
          </c:val>
          <c:smooth val="0"/>
          <c:extLst>
            <c:ext xmlns:c16="http://schemas.microsoft.com/office/drawing/2014/chart" uri="{C3380CC4-5D6E-409C-BE32-E72D297353CC}">
              <c16:uniqueId val="{00000002-A8CE-4462-9502-4413BF864D6E}"/>
            </c:ext>
          </c:extLst>
        </c:ser>
        <c:dLbls>
          <c:showLegendKey val="0"/>
          <c:showVal val="0"/>
          <c:showCatName val="0"/>
          <c:showSerName val="0"/>
          <c:showPercent val="0"/>
          <c:showBubbleSize val="0"/>
        </c:dLbls>
        <c:marker val="1"/>
        <c:smooth val="0"/>
        <c:axId val="2130813599"/>
        <c:axId val="2130812639"/>
      </c:lineChart>
      <c:catAx>
        <c:axId val="103195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46335"/>
        <c:crosses val="autoZero"/>
        <c:auto val="1"/>
        <c:lblAlgn val="ctr"/>
        <c:lblOffset val="100"/>
        <c:noMultiLvlLbl val="0"/>
      </c:catAx>
      <c:valAx>
        <c:axId val="1031946335"/>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57855"/>
        <c:crosses val="autoZero"/>
        <c:crossBetween val="between"/>
      </c:valAx>
      <c:valAx>
        <c:axId val="2130812639"/>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13599"/>
        <c:crosses val="max"/>
        <c:crossBetween val="between"/>
      </c:valAx>
      <c:catAx>
        <c:axId val="2130813599"/>
        <c:scaling>
          <c:orientation val="minMax"/>
        </c:scaling>
        <c:delete val="1"/>
        <c:axPos val="b"/>
        <c:numFmt formatCode="General" sourceLinked="1"/>
        <c:majorTickMark val="out"/>
        <c:minorTickMark val="none"/>
        <c:tickLblPos val="nextTo"/>
        <c:crossAx val="21308126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[nike_adidas_sales_dataset_with_sell_price.xlsx]Sheet1!RegionvsBrand</c:name>
    <c:fmtId val="5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Nike vs Adidas Performance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0000"/>
              <a:lumOff val="8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tx1"/>
            </a:solidFill>
            <a:round/>
          </a:ln>
          <a:effectLst/>
        </c:spPr>
        <c:marker>
          <c:symbol val="diamond"/>
          <c:size val="8"/>
          <c:spPr>
            <a:solidFill>
              <a:schemeClr val="bg1"/>
            </a:solidFill>
            <a:ln w="9525">
              <a:solidFill>
                <a:schemeClr val="accent3"/>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tx2">
                <a:lumMod val="60000"/>
                <a:lumOff val="40000"/>
              </a:schemeClr>
            </a:solidFill>
            <a:round/>
          </a:ln>
          <a:effectLst/>
        </c:spPr>
        <c:marker>
          <c:symbol val="diamond"/>
          <c:size val="8"/>
          <c:spPr>
            <a:solidFill>
              <a:schemeClr val="bg1"/>
            </a:solidFill>
            <a:ln w="9525">
              <a:solidFill>
                <a:schemeClr val="accent1"/>
              </a:solid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tx1"/>
            </a:solidFill>
            <a:round/>
          </a:ln>
          <a:effectLst/>
        </c:spPr>
        <c:marker>
          <c:symbol val="diamond"/>
          <c:size val="8"/>
          <c:spPr>
            <a:solidFill>
              <a:schemeClr val="bg1"/>
            </a:solidFill>
            <a:ln w="9525">
              <a:solidFill>
                <a:schemeClr val="accent3"/>
              </a:solidFill>
            </a:ln>
            <a:effectLst/>
          </c:spPr>
        </c:marker>
      </c:pivotFmt>
      <c:pivotFmt>
        <c:idx val="5"/>
        <c:spPr>
          <a:solidFill>
            <a:schemeClr val="accent1"/>
          </a:solidFill>
          <a:ln w="44450" cap="rnd">
            <a:solidFill>
              <a:schemeClr val="tx1"/>
            </a:solidFill>
            <a:round/>
          </a:ln>
          <a:effectLst/>
        </c:spPr>
        <c:marker>
          <c:symbol val="diamond"/>
          <c:size val="8"/>
          <c:spPr>
            <a:solidFill>
              <a:schemeClr val="bg1"/>
            </a:solidFill>
            <a:ln w="9525">
              <a:solidFill>
                <a:schemeClr val="accent3"/>
              </a:solidFill>
            </a:ln>
            <a:effectLst/>
          </c:spPr>
        </c:marker>
      </c:pivotFmt>
      <c:pivotFmt>
        <c:idx val="6"/>
        <c:spPr>
          <a:solidFill>
            <a:schemeClr val="bg1">
              <a:lumMod val="50000"/>
            </a:schemeClr>
          </a:solidFill>
          <a:ln>
            <a:noFill/>
          </a:ln>
          <a:effectLst/>
        </c:spPr>
      </c:pivotFmt>
      <c:pivotFmt>
        <c:idx val="7"/>
        <c:spPr>
          <a:solidFill>
            <a:schemeClr val="tx2">
              <a:lumMod val="20000"/>
              <a:lumOff val="8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4450" cap="rnd">
            <a:solidFill>
              <a:schemeClr val="tx2">
                <a:lumMod val="60000"/>
                <a:lumOff val="40000"/>
              </a:schemeClr>
            </a:solidFill>
            <a:round/>
          </a:ln>
          <a:effectLst/>
        </c:spPr>
        <c:marker>
          <c:symbol val="diamond"/>
          <c:size val="8"/>
          <c:spPr>
            <a:solidFill>
              <a:schemeClr val="bg1"/>
            </a:solidFill>
            <a:ln w="9525">
              <a:solidFill>
                <a:schemeClr val="accent1"/>
              </a:solid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4450" cap="rnd">
            <a:solidFill>
              <a:schemeClr val="tx1"/>
            </a:solidFill>
            <a:round/>
          </a:ln>
          <a:effectLst/>
        </c:spPr>
        <c:marker>
          <c:symbol val="diamond"/>
          <c:size val="8"/>
          <c:spPr>
            <a:solidFill>
              <a:schemeClr val="bg1"/>
            </a:solidFill>
            <a:ln w="9525">
              <a:solidFill>
                <a:schemeClr val="accent3"/>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44450" cap="rnd">
            <a:solidFill>
              <a:schemeClr val="tx2">
                <a:lumMod val="60000"/>
                <a:lumOff val="40000"/>
              </a:schemeClr>
            </a:solidFill>
            <a:round/>
          </a:ln>
          <a:effectLst/>
        </c:spPr>
        <c:marker>
          <c:symbol val="diamond"/>
          <c:size val="8"/>
          <c:spPr>
            <a:solidFill>
              <a:schemeClr val="bg1"/>
            </a:solidFill>
            <a:ln w="9525">
              <a:solidFill>
                <a:schemeClr val="accent1"/>
              </a:solid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44450" cap="rnd">
            <a:solidFill>
              <a:schemeClr val="tx1"/>
            </a:solidFill>
            <a:round/>
          </a:ln>
          <a:effectLst/>
        </c:spPr>
        <c:marker>
          <c:symbol val="diamond"/>
          <c:size val="8"/>
          <c:spPr>
            <a:solidFill>
              <a:schemeClr val="bg1"/>
            </a:solidFill>
            <a:ln w="9525">
              <a:solidFill>
                <a:schemeClr val="accent3"/>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Sheet1!$C$20:$C$22</c:f>
              <c:strCache>
                <c:ptCount val="1"/>
                <c:pt idx="0">
                  <c:v>Adidas - Quantity </c:v>
                </c:pt>
              </c:strCache>
            </c:strRef>
          </c:tx>
          <c:spPr>
            <a:solidFill>
              <a:schemeClr val="tx2">
                <a:lumMod val="20000"/>
                <a:lumOff val="8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Sheet1!$A$23:$A$26</c:f>
              <c:strCache>
                <c:ptCount val="4"/>
                <c:pt idx="0">
                  <c:v>Asia</c:v>
                </c:pt>
                <c:pt idx="1">
                  <c:v>Europe</c:v>
                </c:pt>
                <c:pt idx="2">
                  <c:v>North America</c:v>
                </c:pt>
                <c:pt idx="3">
                  <c:v>South America</c:v>
                </c:pt>
              </c:strCache>
            </c:strRef>
          </c:cat>
          <c:val>
            <c:numRef>
              <c:f>Sheet1!$C$23:$C$26</c:f>
              <c:numCache>
                <c:formatCode>General</c:formatCode>
                <c:ptCount val="4"/>
                <c:pt idx="0">
                  <c:v>53</c:v>
                </c:pt>
                <c:pt idx="1">
                  <c:v>89</c:v>
                </c:pt>
                <c:pt idx="2">
                  <c:v>49</c:v>
                </c:pt>
                <c:pt idx="3">
                  <c:v>56</c:v>
                </c:pt>
              </c:numCache>
            </c:numRef>
          </c:val>
          <c:extLst>
            <c:ext xmlns:c16="http://schemas.microsoft.com/office/drawing/2014/chart" uri="{C3380CC4-5D6E-409C-BE32-E72D297353CC}">
              <c16:uniqueId val="{00000000-EEE9-49B8-BB6B-73B7923068A8}"/>
            </c:ext>
          </c:extLst>
        </c:ser>
        <c:ser>
          <c:idx val="3"/>
          <c:order val="3"/>
          <c:tx>
            <c:strRef>
              <c:f>Sheet1!$E$20:$E$22</c:f>
              <c:strCache>
                <c:ptCount val="1"/>
                <c:pt idx="0">
                  <c:v>Nike - Quantity </c:v>
                </c:pt>
              </c:strCache>
            </c:strRef>
          </c:tx>
          <c:spPr>
            <a:solidFill>
              <a:schemeClr val="bg1">
                <a:lumMod val="5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Sheet1!$A$23:$A$26</c:f>
              <c:strCache>
                <c:ptCount val="4"/>
                <c:pt idx="0">
                  <c:v>Asia</c:v>
                </c:pt>
                <c:pt idx="1">
                  <c:v>Europe</c:v>
                </c:pt>
                <c:pt idx="2">
                  <c:v>North America</c:v>
                </c:pt>
                <c:pt idx="3">
                  <c:v>South America</c:v>
                </c:pt>
              </c:strCache>
            </c:strRef>
          </c:cat>
          <c:val>
            <c:numRef>
              <c:f>Sheet1!$E$23:$E$26</c:f>
              <c:numCache>
                <c:formatCode>General</c:formatCode>
                <c:ptCount val="4"/>
                <c:pt idx="0">
                  <c:v>49</c:v>
                </c:pt>
                <c:pt idx="1">
                  <c:v>74</c:v>
                </c:pt>
                <c:pt idx="2">
                  <c:v>67</c:v>
                </c:pt>
                <c:pt idx="3">
                  <c:v>61</c:v>
                </c:pt>
              </c:numCache>
            </c:numRef>
          </c:val>
          <c:extLst>
            <c:ext xmlns:c16="http://schemas.microsoft.com/office/drawing/2014/chart" uri="{C3380CC4-5D6E-409C-BE32-E72D297353CC}">
              <c16:uniqueId val="{00000001-EEE9-49B8-BB6B-73B7923068A8}"/>
            </c:ext>
          </c:extLst>
        </c:ser>
        <c:dLbls>
          <c:showLegendKey val="0"/>
          <c:showVal val="0"/>
          <c:showCatName val="0"/>
          <c:showSerName val="0"/>
          <c:showPercent val="0"/>
          <c:showBubbleSize val="0"/>
        </c:dLbls>
        <c:gapWidth val="219"/>
        <c:axId val="872610943"/>
        <c:axId val="872608063"/>
      </c:barChart>
      <c:lineChart>
        <c:grouping val="standard"/>
        <c:varyColors val="0"/>
        <c:ser>
          <c:idx val="0"/>
          <c:order val="0"/>
          <c:tx>
            <c:strRef>
              <c:f>Sheet1!$B$20:$B$22</c:f>
              <c:strCache>
                <c:ptCount val="1"/>
                <c:pt idx="0">
                  <c:v>Adidas - Price</c:v>
                </c:pt>
              </c:strCache>
            </c:strRef>
          </c:tx>
          <c:spPr>
            <a:ln w="44450" cap="rnd">
              <a:solidFill>
                <a:schemeClr val="tx2">
                  <a:lumMod val="60000"/>
                  <a:lumOff val="40000"/>
                </a:schemeClr>
              </a:solidFill>
              <a:round/>
            </a:ln>
            <a:effectLst/>
          </c:spPr>
          <c:marker>
            <c:symbol val="diamond"/>
            <c:size val="8"/>
            <c:spPr>
              <a:solidFill>
                <a:schemeClr val="bg1"/>
              </a:solidFill>
              <a:ln w="9525">
                <a:solidFill>
                  <a:schemeClr val="accent1"/>
                </a:solidFill>
              </a:ln>
              <a:effectLst/>
            </c:spPr>
          </c:marker>
          <c:dLbls>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Sheet1!$A$23:$A$26</c:f>
              <c:strCache>
                <c:ptCount val="4"/>
                <c:pt idx="0">
                  <c:v>Asia</c:v>
                </c:pt>
                <c:pt idx="1">
                  <c:v>Europe</c:v>
                </c:pt>
                <c:pt idx="2">
                  <c:v>North America</c:v>
                </c:pt>
                <c:pt idx="3">
                  <c:v>South America</c:v>
                </c:pt>
              </c:strCache>
            </c:strRef>
          </c:cat>
          <c:val>
            <c:numRef>
              <c:f>Sheet1!$B$23:$B$26</c:f>
              <c:numCache>
                <c:formatCode>"$"#,##0.00</c:formatCode>
                <c:ptCount val="4"/>
                <c:pt idx="0">
                  <c:v>101.05083333333334</c:v>
                </c:pt>
                <c:pt idx="1">
                  <c:v>106.33571428571427</c:v>
                </c:pt>
                <c:pt idx="2">
                  <c:v>94.142222222222216</c:v>
                </c:pt>
                <c:pt idx="3">
                  <c:v>108.81916666666667</c:v>
                </c:pt>
              </c:numCache>
            </c:numRef>
          </c:val>
          <c:smooth val="0"/>
          <c:extLst>
            <c:ext xmlns:c16="http://schemas.microsoft.com/office/drawing/2014/chart" uri="{C3380CC4-5D6E-409C-BE32-E72D297353CC}">
              <c16:uniqueId val="{00000002-EEE9-49B8-BB6B-73B7923068A8}"/>
            </c:ext>
          </c:extLst>
        </c:ser>
        <c:ser>
          <c:idx val="2"/>
          <c:order val="2"/>
          <c:tx>
            <c:strRef>
              <c:f>Sheet1!$D$20:$D$22</c:f>
              <c:strCache>
                <c:ptCount val="1"/>
                <c:pt idx="0">
                  <c:v>Nike - Price</c:v>
                </c:pt>
              </c:strCache>
            </c:strRef>
          </c:tx>
          <c:spPr>
            <a:ln w="44450" cap="rnd">
              <a:solidFill>
                <a:schemeClr val="tx1"/>
              </a:solidFill>
              <a:round/>
            </a:ln>
            <a:effectLst/>
          </c:spPr>
          <c:marker>
            <c:symbol val="diamond"/>
            <c:size val="8"/>
            <c:spPr>
              <a:solidFill>
                <a:schemeClr val="bg1"/>
              </a:solidFill>
              <a:ln w="9525">
                <a:solidFill>
                  <a:schemeClr val="accent3"/>
                </a:solidFill>
              </a:ln>
              <a:effectLst/>
            </c:spPr>
          </c:marker>
          <c:dLbls>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Sheet1!$A$23:$A$26</c:f>
              <c:strCache>
                <c:ptCount val="4"/>
                <c:pt idx="0">
                  <c:v>Asia</c:v>
                </c:pt>
                <c:pt idx="1">
                  <c:v>Europe</c:v>
                </c:pt>
                <c:pt idx="2">
                  <c:v>North America</c:v>
                </c:pt>
                <c:pt idx="3">
                  <c:v>South America</c:v>
                </c:pt>
              </c:strCache>
            </c:strRef>
          </c:cat>
          <c:val>
            <c:numRef>
              <c:f>Sheet1!$D$23:$D$26</c:f>
              <c:numCache>
                <c:formatCode>"$"#,##0.00</c:formatCode>
                <c:ptCount val="4"/>
                <c:pt idx="0">
                  <c:v>100.31818181818181</c:v>
                </c:pt>
                <c:pt idx="1">
                  <c:v>105.110625</c:v>
                </c:pt>
                <c:pt idx="2">
                  <c:v>118.0290909090909</c:v>
                </c:pt>
                <c:pt idx="3">
                  <c:v>133.84</c:v>
                </c:pt>
              </c:numCache>
            </c:numRef>
          </c:val>
          <c:smooth val="0"/>
          <c:extLst>
            <c:ext xmlns:c16="http://schemas.microsoft.com/office/drawing/2014/chart" uri="{C3380CC4-5D6E-409C-BE32-E72D297353CC}">
              <c16:uniqueId val="{00000003-EEE9-49B8-BB6B-73B7923068A8}"/>
            </c:ext>
          </c:extLst>
        </c:ser>
        <c:dLbls>
          <c:showLegendKey val="0"/>
          <c:showVal val="0"/>
          <c:showCatName val="0"/>
          <c:showSerName val="0"/>
          <c:showPercent val="0"/>
          <c:showBubbleSize val="0"/>
        </c:dLbls>
        <c:marker val="1"/>
        <c:smooth val="0"/>
        <c:axId val="787941103"/>
        <c:axId val="787949743"/>
      </c:lineChart>
      <c:catAx>
        <c:axId val="8726109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2608063"/>
        <c:crosses val="autoZero"/>
        <c:auto val="1"/>
        <c:lblAlgn val="ctr"/>
        <c:lblOffset val="100"/>
        <c:noMultiLvlLbl val="0"/>
      </c:catAx>
      <c:valAx>
        <c:axId val="872608063"/>
        <c:scaling>
          <c:orientation val="minMax"/>
          <c:min val="30"/>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610943"/>
        <c:crosses val="autoZero"/>
        <c:crossBetween val="between"/>
      </c:valAx>
      <c:valAx>
        <c:axId val="787949743"/>
        <c:scaling>
          <c:orientation val="minMax"/>
        </c:scaling>
        <c:delete val="0"/>
        <c:axPos val="r"/>
        <c:numFmt formatCode="&quot;$&quot;#,##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41103"/>
        <c:crosses val="max"/>
        <c:crossBetween val="between"/>
      </c:valAx>
      <c:catAx>
        <c:axId val="787941103"/>
        <c:scaling>
          <c:orientation val="minMax"/>
        </c:scaling>
        <c:delete val="1"/>
        <c:axPos val="b"/>
        <c:numFmt formatCode="General" sourceLinked="1"/>
        <c:majorTickMark val="out"/>
        <c:minorTickMark val="none"/>
        <c:tickLblPos val="nextTo"/>
        <c:crossAx val="7879497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[nike_adidas_sales_dataset_with_sell_price.xlsx]Sheet1!BrandvsCountry</c:name>
    <c:fmtId val="6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Adidas vs Nike Sales Distribution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
        <c:idx val="1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
        <c:idx val="16"/>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6.1974552742540344E-2"/>
          <c:y val="8.5952197468370919E-2"/>
          <c:w val="0.90909710839044244"/>
          <c:h val="0.85968178807374163"/>
        </c:manualLayout>
      </c:layout>
      <c:barChart>
        <c:barDir val="col"/>
        <c:grouping val="stacked"/>
        <c:varyColors val="0"/>
        <c:ser>
          <c:idx val="0"/>
          <c:order val="0"/>
          <c:tx>
            <c:strRef>
              <c:f>Sheet1!$B$31:$B$32</c:f>
              <c:strCache>
                <c:ptCount val="1"/>
                <c:pt idx="0">
                  <c:v>Asia</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Adidas</c:v>
                </c:pt>
                <c:pt idx="1">
                  <c:v>Nike</c:v>
                </c:pt>
              </c:strCache>
            </c:strRef>
          </c:cat>
          <c:val>
            <c:numRef>
              <c:f>Sheet1!$B$33:$B$34</c:f>
              <c:numCache>
                <c:formatCode>General</c:formatCode>
                <c:ptCount val="2"/>
                <c:pt idx="0">
                  <c:v>53</c:v>
                </c:pt>
                <c:pt idx="1">
                  <c:v>49</c:v>
                </c:pt>
              </c:numCache>
            </c:numRef>
          </c:val>
          <c:extLst>
            <c:ext xmlns:c16="http://schemas.microsoft.com/office/drawing/2014/chart" uri="{C3380CC4-5D6E-409C-BE32-E72D297353CC}">
              <c16:uniqueId val="{00000000-203A-4DEF-9180-84D4CFA2DFFC}"/>
            </c:ext>
          </c:extLst>
        </c:ser>
        <c:ser>
          <c:idx val="1"/>
          <c:order val="1"/>
          <c:tx>
            <c:strRef>
              <c:f>Sheet1!$C$31:$C$32</c:f>
              <c:strCache>
                <c:ptCount val="1"/>
                <c:pt idx="0">
                  <c:v>Europe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Adidas</c:v>
                </c:pt>
                <c:pt idx="1">
                  <c:v>Nike</c:v>
                </c:pt>
              </c:strCache>
            </c:strRef>
          </c:cat>
          <c:val>
            <c:numRef>
              <c:f>Sheet1!$C$33:$C$34</c:f>
              <c:numCache>
                <c:formatCode>General</c:formatCode>
                <c:ptCount val="2"/>
                <c:pt idx="0">
                  <c:v>89</c:v>
                </c:pt>
                <c:pt idx="1">
                  <c:v>74</c:v>
                </c:pt>
              </c:numCache>
            </c:numRef>
          </c:val>
          <c:extLst>
            <c:ext xmlns:c16="http://schemas.microsoft.com/office/drawing/2014/chart" uri="{C3380CC4-5D6E-409C-BE32-E72D297353CC}">
              <c16:uniqueId val="{00000001-203A-4DEF-9180-84D4CFA2DFFC}"/>
            </c:ext>
          </c:extLst>
        </c:ser>
        <c:ser>
          <c:idx val="2"/>
          <c:order val="2"/>
          <c:tx>
            <c:strRef>
              <c:f>Sheet1!$D$31:$D$32</c:f>
              <c:strCache>
                <c:ptCount val="1"/>
                <c:pt idx="0">
                  <c:v>North America</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Adidas</c:v>
                </c:pt>
                <c:pt idx="1">
                  <c:v>Nike</c:v>
                </c:pt>
              </c:strCache>
            </c:strRef>
          </c:cat>
          <c:val>
            <c:numRef>
              <c:f>Sheet1!$D$33:$D$34</c:f>
              <c:numCache>
                <c:formatCode>General</c:formatCode>
                <c:ptCount val="2"/>
                <c:pt idx="0">
                  <c:v>49</c:v>
                </c:pt>
                <c:pt idx="1">
                  <c:v>67</c:v>
                </c:pt>
              </c:numCache>
            </c:numRef>
          </c:val>
          <c:extLst>
            <c:ext xmlns:c16="http://schemas.microsoft.com/office/drawing/2014/chart" uri="{C3380CC4-5D6E-409C-BE32-E72D297353CC}">
              <c16:uniqueId val="{00000002-203A-4DEF-9180-84D4CFA2DFFC}"/>
            </c:ext>
          </c:extLst>
        </c:ser>
        <c:ser>
          <c:idx val="3"/>
          <c:order val="3"/>
          <c:tx>
            <c:strRef>
              <c:f>Sheet1!$E$31:$E$32</c:f>
              <c:strCache>
                <c:ptCount val="1"/>
                <c:pt idx="0">
                  <c:v>South America</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203A-4DEF-9180-84D4CFA2DFF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203A-4DEF-9180-84D4CFA2DFFC}"/>
              </c:ext>
            </c:extLst>
          </c:dPt>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03A-4DEF-9180-84D4CFA2DFFC}"/>
                </c:ext>
              </c:extLst>
            </c:dLbl>
            <c:dLbl>
              <c:idx val="1"/>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203A-4DEF-9180-84D4CFA2DF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Adidas</c:v>
                </c:pt>
                <c:pt idx="1">
                  <c:v>Nike</c:v>
                </c:pt>
              </c:strCache>
            </c:strRef>
          </c:cat>
          <c:val>
            <c:numRef>
              <c:f>Sheet1!$E$33:$E$34</c:f>
              <c:numCache>
                <c:formatCode>General</c:formatCode>
                <c:ptCount val="2"/>
                <c:pt idx="0">
                  <c:v>56</c:v>
                </c:pt>
                <c:pt idx="1">
                  <c:v>61</c:v>
                </c:pt>
              </c:numCache>
            </c:numRef>
          </c:val>
          <c:extLst>
            <c:ext xmlns:c16="http://schemas.microsoft.com/office/drawing/2014/chart" uri="{C3380CC4-5D6E-409C-BE32-E72D297353CC}">
              <c16:uniqueId val="{00000005-203A-4DEF-9180-84D4CFA2DFFC}"/>
            </c:ext>
          </c:extLst>
        </c:ser>
        <c:dLbls>
          <c:showLegendKey val="0"/>
          <c:showVal val="0"/>
          <c:showCatName val="0"/>
          <c:showSerName val="0"/>
          <c:showPercent val="0"/>
          <c:showBubbleSize val="0"/>
        </c:dLbls>
        <c:gapWidth val="150"/>
        <c:overlap val="100"/>
        <c:axId val="678253519"/>
        <c:axId val="1429104735"/>
      </c:barChart>
      <c:catAx>
        <c:axId val="678253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9104735"/>
        <c:crosses val="autoZero"/>
        <c:auto val="1"/>
        <c:lblAlgn val="ctr"/>
        <c:lblOffset val="100"/>
        <c:noMultiLvlLbl val="0"/>
      </c:catAx>
      <c:valAx>
        <c:axId val="1429104735"/>
        <c:scaling>
          <c:orientation val="minMax"/>
          <c:max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25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[nike_adidas_sales_dataset_with_sell_price.xlsx]Sheet1!ProductTable</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vs Profit by Product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2">
              <a:lumMod val="40000"/>
              <a:lumOff val="60000"/>
            </a:schemeClr>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6">
              <a:lumMod val="40000"/>
              <a:lumOff val="60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2">
              <a:lumMod val="60000"/>
              <a:lumOff val="40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6">
              <a:lumMod val="60000"/>
              <a:lumOff val="4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pivotFmt>
      <c:pivotFmt>
        <c:idx val="20"/>
        <c:spPr>
          <a:solidFill>
            <a:schemeClr val="accent1">
              <a:lumMod val="40000"/>
              <a:lumOff val="60000"/>
            </a:schemeClr>
          </a:solidFill>
          <a:ln w="19050">
            <a:solidFill>
              <a:schemeClr val="lt1"/>
            </a:solidFill>
          </a:ln>
          <a:effectLst/>
        </c:spPr>
      </c:pivotFmt>
      <c:pivotFmt>
        <c:idx val="21"/>
        <c:spPr>
          <a:solidFill>
            <a:schemeClr val="accent6">
              <a:lumMod val="40000"/>
              <a:lumOff val="60000"/>
            </a:schemeClr>
          </a:solidFill>
          <a:ln w="19050">
            <a:solidFill>
              <a:schemeClr val="lt1"/>
            </a:solidFill>
          </a:ln>
          <a:effectLst/>
        </c:spPr>
      </c:pivotFmt>
      <c:pivotFmt>
        <c:idx val="22"/>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3"/>
        <c:spPr>
          <a:solidFill>
            <a:schemeClr val="accent2">
              <a:lumMod val="60000"/>
              <a:lumOff val="40000"/>
            </a:schemeClr>
          </a:solidFill>
          <a:ln w="19050">
            <a:solidFill>
              <a:schemeClr val="lt1"/>
            </a:solidFill>
          </a:ln>
          <a:effectLst/>
        </c:spPr>
      </c:pivotFmt>
      <c:pivotFmt>
        <c:idx val="24"/>
        <c:spPr>
          <a:solidFill>
            <a:schemeClr val="accent1">
              <a:lumMod val="60000"/>
              <a:lumOff val="40000"/>
            </a:schemeClr>
          </a:solidFill>
          <a:ln w="19050">
            <a:solidFill>
              <a:schemeClr val="lt1"/>
            </a:solidFill>
          </a:ln>
          <a:effectLst/>
        </c:spPr>
      </c:pivotFmt>
      <c:pivotFmt>
        <c:idx val="25"/>
        <c:spPr>
          <a:solidFill>
            <a:schemeClr val="accent6">
              <a:lumMod val="60000"/>
              <a:lumOff val="40000"/>
            </a:schemeClr>
          </a:solidFill>
          <a:ln w="19050">
            <a:solidFill>
              <a:schemeClr val="lt1"/>
            </a:solidFill>
          </a:ln>
          <a:effectLst/>
        </c:spPr>
      </c:pivotFmt>
    </c:pivotFmts>
    <c:plotArea>
      <c:layout/>
      <c:doughnutChart>
        <c:varyColors val="1"/>
        <c:ser>
          <c:idx val="0"/>
          <c:order val="0"/>
          <c:tx>
            <c:strRef>
              <c:f>Sheet1!$B$4</c:f>
              <c:strCache>
                <c:ptCount val="1"/>
                <c:pt idx="0">
                  <c:v>Profit </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0190-4C34-BEBE-83DC1F10BAAE}"/>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0190-4C34-BEBE-83DC1F10BAAE}"/>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190-4C34-BEBE-83DC1F10BA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Sheet1!$A$5:$A$8</c:f>
              <c:strCache>
                <c:ptCount val="3"/>
                <c:pt idx="0">
                  <c:v>Accessories</c:v>
                </c:pt>
                <c:pt idx="1">
                  <c:v>Apparel</c:v>
                </c:pt>
                <c:pt idx="2">
                  <c:v>Shoes</c:v>
                </c:pt>
              </c:strCache>
            </c:strRef>
          </c:cat>
          <c:val>
            <c:numRef>
              <c:f>Sheet1!$B$5:$B$8</c:f>
              <c:numCache>
                <c:formatCode>"$"#,##0.00</c:formatCode>
                <c:ptCount val="3"/>
                <c:pt idx="0">
                  <c:v>4802.2299999999996</c:v>
                </c:pt>
                <c:pt idx="1">
                  <c:v>6011.47</c:v>
                </c:pt>
                <c:pt idx="2">
                  <c:v>8563.8299999999963</c:v>
                </c:pt>
              </c:numCache>
            </c:numRef>
          </c:val>
          <c:extLst>
            <c:ext xmlns:c16="http://schemas.microsoft.com/office/drawing/2014/chart" uri="{C3380CC4-5D6E-409C-BE32-E72D297353CC}">
              <c16:uniqueId val="{00000006-0190-4C34-BEBE-83DC1F10BAAE}"/>
            </c:ext>
          </c:extLst>
        </c:ser>
        <c:ser>
          <c:idx val="1"/>
          <c:order val="1"/>
          <c:tx>
            <c:strRef>
              <c:f>Sheet1!$C$4</c:f>
              <c:strCache>
                <c:ptCount val="1"/>
                <c:pt idx="0">
                  <c:v>Revenue</c:v>
                </c:pt>
              </c:strCache>
            </c:strRef>
          </c:tx>
          <c:spPr>
            <a:solidFill>
              <a:schemeClr val="accent1">
                <a:lumMod val="20000"/>
                <a:lumOff val="8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8-0190-4C34-BEBE-83DC1F10BAA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A-0190-4C34-BEBE-83DC1F10BAAE}"/>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C-0190-4C34-BEBE-83DC1F10BA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Sheet1!$A$5:$A$8</c:f>
              <c:strCache>
                <c:ptCount val="3"/>
                <c:pt idx="0">
                  <c:v>Accessories</c:v>
                </c:pt>
                <c:pt idx="1">
                  <c:v>Apparel</c:v>
                </c:pt>
                <c:pt idx="2">
                  <c:v>Shoes</c:v>
                </c:pt>
              </c:strCache>
            </c:strRef>
          </c:cat>
          <c:val>
            <c:numRef>
              <c:f>Sheet1!$C$5:$C$8</c:f>
              <c:numCache>
                <c:formatCode>"$"#,##0.00</c:formatCode>
                <c:ptCount val="3"/>
                <c:pt idx="0">
                  <c:v>14272.829999999998</c:v>
                </c:pt>
                <c:pt idx="1">
                  <c:v>16658.749999999996</c:v>
                </c:pt>
                <c:pt idx="2">
                  <c:v>22984.239999999998</c:v>
                </c:pt>
              </c:numCache>
            </c:numRef>
          </c:val>
          <c:extLst>
            <c:ext xmlns:c16="http://schemas.microsoft.com/office/drawing/2014/chart" uri="{C3380CC4-5D6E-409C-BE32-E72D297353CC}">
              <c16:uniqueId val="{0000000D-0190-4C34-BEBE-83DC1F10BAAE}"/>
            </c:ext>
          </c:extLst>
        </c:ser>
        <c:dLbls>
          <c:showLegendKey val="0"/>
          <c:showVal val="0"/>
          <c:showCatName val="0"/>
          <c:showSerName val="0"/>
          <c:showPercent val="0"/>
          <c:showBubbleSize val="0"/>
          <c:showLeaderLines val="1"/>
        </c:dLbls>
        <c:firstSliceAng val="0"/>
        <c:holeSize val="1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vs Profit Comparison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40000"/>
              <a:lumOff val="60000"/>
            </a:schemeClr>
          </a:solidFill>
          <a:ln>
            <a:noFill/>
          </a:ln>
          <a:effectLst/>
        </c:spPr>
      </c:pivotFmt>
    </c:pivotFmts>
    <c:plotArea>
      <c:layout/>
      <c:barChart>
        <c:barDir val="bar"/>
        <c:grouping val="clustered"/>
        <c:varyColors val="0"/>
        <c:ser>
          <c:idx val="0"/>
          <c:order val="0"/>
          <c:tx>
            <c:v>Profit </c:v>
          </c:tx>
          <c:spPr>
            <a:solidFill>
              <a:schemeClr val="accent6">
                <a:lumMod val="40000"/>
                <a:lumOff val="60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0703-4706-ACD1-9803DA5EBC22}"/>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0703-4706-ACD1-9803DA5EBC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Accessories</c:v>
              </c:pt>
              <c:pt idx="1">
                <c:v>Apparel</c:v>
              </c:pt>
              <c:pt idx="2">
                <c:v>Shoes</c:v>
              </c:pt>
            </c:strLit>
          </c:cat>
          <c:val>
            <c:numLit>
              <c:formatCode>General</c:formatCode>
              <c:ptCount val="3"/>
              <c:pt idx="0">
                <c:v>4802.2300000000014</c:v>
              </c:pt>
              <c:pt idx="1">
                <c:v>6011.4699999999984</c:v>
              </c:pt>
              <c:pt idx="2">
                <c:v>8563.8299999999981</c:v>
              </c:pt>
            </c:numLit>
          </c:val>
          <c:extLst>
            <c:ext xmlns:c16="http://schemas.microsoft.com/office/drawing/2014/chart" uri="{C3380CC4-5D6E-409C-BE32-E72D297353CC}">
              <c16:uniqueId val="{00000004-0703-4706-ACD1-9803DA5EBC22}"/>
            </c:ext>
          </c:extLst>
        </c:ser>
        <c:ser>
          <c:idx val="1"/>
          <c:order val="1"/>
          <c:tx>
            <c:v>Revenue</c:v>
          </c:tx>
          <c:spPr>
            <a:solidFill>
              <a:schemeClr val="accent6">
                <a:lumMod val="60000"/>
                <a:lumOff val="40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0703-4706-ACD1-9803DA5EBC22}"/>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0703-4706-ACD1-9803DA5EBC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Accessories</c:v>
              </c:pt>
              <c:pt idx="1">
                <c:v>Apparel</c:v>
              </c:pt>
              <c:pt idx="2">
                <c:v>Shoes</c:v>
              </c:pt>
            </c:strLit>
          </c:cat>
          <c:val>
            <c:numLit>
              <c:formatCode>General</c:formatCode>
              <c:ptCount val="3"/>
              <c:pt idx="0">
                <c:v>14272.829999999998</c:v>
              </c:pt>
              <c:pt idx="1">
                <c:v>16658.75</c:v>
              </c:pt>
              <c:pt idx="2">
                <c:v>22984.239999999998</c:v>
              </c:pt>
            </c:numLit>
          </c:val>
          <c:extLst>
            <c:ext xmlns:c16="http://schemas.microsoft.com/office/drawing/2014/chart" uri="{C3380CC4-5D6E-409C-BE32-E72D297353CC}">
              <c16:uniqueId val="{00000009-0703-4706-ACD1-9803DA5EBC22}"/>
            </c:ext>
          </c:extLst>
        </c:ser>
        <c:dLbls>
          <c:showLegendKey val="0"/>
          <c:showVal val="0"/>
          <c:showCatName val="0"/>
          <c:showSerName val="0"/>
          <c:showPercent val="0"/>
          <c:showBubbleSize val="0"/>
        </c:dLbls>
        <c:gapWidth val="182"/>
        <c:axId val="1371548223"/>
        <c:axId val="1371553503"/>
      </c:barChart>
      <c:catAx>
        <c:axId val="1371548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53503"/>
        <c:crosses val="autoZero"/>
        <c:auto val="1"/>
        <c:lblAlgn val="ctr"/>
        <c:lblOffset val="100"/>
        <c:noMultiLvlLbl val="0"/>
      </c:catAx>
      <c:valAx>
        <c:axId val="137155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4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80010</xdr:colOff>
      <xdr:row>41</xdr:row>
      <xdr:rowOff>30480</xdr:rowOff>
    </xdr:from>
    <xdr:to>
      <xdr:col>27</xdr:col>
      <xdr:colOff>400050</xdr:colOff>
      <xdr:row>63</xdr:row>
      <xdr:rowOff>106680</xdr:rowOff>
    </xdr:to>
    <xdr:graphicFrame macro="">
      <xdr:nvGraphicFramePr>
        <xdr:cNvPr id="2" name="Chart 1">
          <a:extLst>
            <a:ext uri="{FF2B5EF4-FFF2-40B4-BE49-F238E27FC236}">
              <a16:creationId xmlns:a16="http://schemas.microsoft.com/office/drawing/2014/main" id="{5A2CC6ED-6FAB-7843-D15F-D2A0905CE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504265</xdr:colOff>
      <xdr:row>65</xdr:row>
      <xdr:rowOff>150159</xdr:rowOff>
    </xdr:from>
    <xdr:to>
      <xdr:col>29</xdr:col>
      <xdr:colOff>166968</xdr:colOff>
      <xdr:row>88</xdr:row>
      <xdr:rowOff>64995</xdr:rowOff>
    </xdr:to>
    <xdr:graphicFrame macro="">
      <xdr:nvGraphicFramePr>
        <xdr:cNvPr id="3" name="Chart 2">
          <a:extLst>
            <a:ext uri="{FF2B5EF4-FFF2-40B4-BE49-F238E27FC236}">
              <a16:creationId xmlns:a16="http://schemas.microsoft.com/office/drawing/2014/main" id="{24DBD02F-2D54-3424-860E-A3A327D63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141514</xdr:colOff>
      <xdr:row>88</xdr:row>
      <xdr:rowOff>88569</xdr:rowOff>
    </xdr:from>
    <xdr:to>
      <xdr:col>17</xdr:col>
      <xdr:colOff>374072</xdr:colOff>
      <xdr:row>117</xdr:row>
      <xdr:rowOff>126670</xdr:rowOff>
    </xdr:to>
    <xdr:graphicFrame macro="">
      <xdr:nvGraphicFramePr>
        <xdr:cNvPr id="4" name="Chart 3">
          <a:extLst>
            <a:ext uri="{FF2B5EF4-FFF2-40B4-BE49-F238E27FC236}">
              <a16:creationId xmlns:a16="http://schemas.microsoft.com/office/drawing/2014/main" id="{560C6B31-9D48-0E8B-D9CD-3F461BF3D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101771</xdr:colOff>
      <xdr:row>6</xdr:row>
      <xdr:rowOff>45026</xdr:rowOff>
    </xdr:from>
    <xdr:to>
      <xdr:col>45</xdr:col>
      <xdr:colOff>374074</xdr:colOff>
      <xdr:row>29</xdr:row>
      <xdr:rowOff>2316</xdr:rowOff>
    </xdr:to>
    <xdr:graphicFrame macro="">
      <xdr:nvGraphicFramePr>
        <xdr:cNvPr id="2" name="Chart 1">
          <a:extLst>
            <a:ext uri="{FF2B5EF4-FFF2-40B4-BE49-F238E27FC236}">
              <a16:creationId xmlns:a16="http://schemas.microsoft.com/office/drawing/2014/main" id="{0EA71EFB-9C18-4B68-BE18-F61098568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96981</xdr:rowOff>
    </xdr:from>
    <xdr:to>
      <xdr:col>29</xdr:col>
      <xdr:colOff>486295</xdr:colOff>
      <xdr:row>52</xdr:row>
      <xdr:rowOff>41783</xdr:rowOff>
    </xdr:to>
    <xdr:graphicFrame macro="">
      <xdr:nvGraphicFramePr>
        <xdr:cNvPr id="3" name="Chart 2">
          <a:extLst>
            <a:ext uri="{FF2B5EF4-FFF2-40B4-BE49-F238E27FC236}">
              <a16:creationId xmlns:a16="http://schemas.microsoft.com/office/drawing/2014/main" id="{52FC0B06-1F6A-4ACE-992A-3C5CCB6E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13854</xdr:colOff>
      <xdr:row>6</xdr:row>
      <xdr:rowOff>51608</xdr:rowOff>
    </xdr:from>
    <xdr:to>
      <xdr:col>25</xdr:col>
      <xdr:colOff>498071</xdr:colOff>
      <xdr:row>29</xdr:row>
      <xdr:rowOff>5611</xdr:rowOff>
    </xdr:to>
    <xdr:graphicFrame macro="">
      <xdr:nvGraphicFramePr>
        <xdr:cNvPr id="5" name="Chart 4">
          <a:extLst>
            <a:ext uri="{FF2B5EF4-FFF2-40B4-BE49-F238E27FC236}">
              <a16:creationId xmlns:a16="http://schemas.microsoft.com/office/drawing/2014/main" id="{12C4A6BD-A783-0551-408B-89740E4C3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13855</xdr:colOff>
      <xdr:row>0</xdr:row>
      <xdr:rowOff>0</xdr:rowOff>
    </xdr:from>
    <xdr:to>
      <xdr:col>45</xdr:col>
      <xdr:colOff>374074</xdr:colOff>
      <xdr:row>5</xdr:row>
      <xdr:rowOff>166255</xdr:rowOff>
    </xdr:to>
    <xdr:sp macro="" textlink="">
      <xdr:nvSpPr>
        <xdr:cNvPr id="6" name="Rectangle 5">
          <a:extLst>
            <a:ext uri="{FF2B5EF4-FFF2-40B4-BE49-F238E27FC236}">
              <a16:creationId xmlns:a16="http://schemas.microsoft.com/office/drawing/2014/main" id="{D4262FE9-2C50-F588-2310-25B247D00058}"/>
            </a:ext>
          </a:extLst>
        </xdr:cNvPr>
        <xdr:cNvSpPr/>
      </xdr:nvSpPr>
      <xdr:spPr>
        <a:xfrm>
          <a:off x="13855" y="0"/>
          <a:ext cx="16653164" cy="1066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Adidas vs Nike Analysis by Region and Weekday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78796</xdr:colOff>
      <xdr:row>44</xdr:row>
      <xdr:rowOff>26964</xdr:rowOff>
    </xdr:from>
    <xdr:to>
      <xdr:col>32</xdr:col>
      <xdr:colOff>290943</xdr:colOff>
      <xdr:row>73</xdr:row>
      <xdr:rowOff>52457</xdr:rowOff>
    </xdr:to>
    <xdr:graphicFrame macro="">
      <xdr:nvGraphicFramePr>
        <xdr:cNvPr id="2" name="Chart 1">
          <a:extLst>
            <a:ext uri="{FF2B5EF4-FFF2-40B4-BE49-F238E27FC236}">
              <a16:creationId xmlns:a16="http://schemas.microsoft.com/office/drawing/2014/main" id="{8AB2610E-6B8A-4E03-B3F6-0165BAA96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78798</xdr:colOff>
      <xdr:row>15</xdr:row>
      <xdr:rowOff>13847</xdr:rowOff>
    </xdr:from>
    <xdr:to>
      <xdr:col>21</xdr:col>
      <xdr:colOff>517710</xdr:colOff>
      <xdr:row>44</xdr:row>
      <xdr:rowOff>41562</xdr:rowOff>
    </xdr:to>
    <xdr:graphicFrame macro="">
      <xdr:nvGraphicFramePr>
        <xdr:cNvPr id="3" name="Chart 2">
          <a:extLst>
            <a:ext uri="{FF2B5EF4-FFF2-40B4-BE49-F238E27FC236}">
              <a16:creationId xmlns:a16="http://schemas.microsoft.com/office/drawing/2014/main" id="{55D5FE0A-9842-4A8B-A62C-B340F92AB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235525</xdr:colOff>
      <xdr:row>14</xdr:row>
      <xdr:rowOff>138546</xdr:rowOff>
    </xdr:from>
    <xdr:to>
      <xdr:col>34</xdr:col>
      <xdr:colOff>55418</xdr:colOff>
      <xdr:row>43</xdr:row>
      <xdr:rowOff>164039</xdr:rowOff>
    </xdr:to>
    <xdr:graphicFrame macro="">
      <xdr:nvGraphicFramePr>
        <xdr:cNvPr id="4" name="Chart 3">
          <a:extLst>
            <a:ext uri="{FF2B5EF4-FFF2-40B4-BE49-F238E27FC236}">
              <a16:creationId xmlns:a16="http://schemas.microsoft.com/office/drawing/2014/main" id="{63CBAD1C-826F-4A13-81B3-C7B2C2550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78796</xdr:colOff>
      <xdr:row>1</xdr:row>
      <xdr:rowOff>87085</xdr:rowOff>
    </xdr:from>
    <xdr:to>
      <xdr:col>37</xdr:col>
      <xdr:colOff>332509</xdr:colOff>
      <xdr:row>7</xdr:row>
      <xdr:rowOff>143023</xdr:rowOff>
    </xdr:to>
    <xdr:sp macro="" textlink="">
      <xdr:nvSpPr>
        <xdr:cNvPr id="5" name="Rectangle 4">
          <a:extLst>
            <a:ext uri="{FF2B5EF4-FFF2-40B4-BE49-F238E27FC236}">
              <a16:creationId xmlns:a16="http://schemas.microsoft.com/office/drawing/2014/main" id="{428239D0-4A30-4220-A817-D6F93A3A182D}"/>
            </a:ext>
          </a:extLst>
        </xdr:cNvPr>
        <xdr:cNvSpPr/>
      </xdr:nvSpPr>
      <xdr:spPr>
        <a:xfrm>
          <a:off x="78796" y="277585"/>
          <a:ext cx="22808913" cy="11989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Regional Market Performance and Brand Comparison</a:t>
          </a:r>
        </a:p>
      </xdr:txBody>
    </xdr:sp>
    <xdr:clientData/>
  </xdr:twoCellAnchor>
  <xdr:twoCellAnchor>
    <xdr:from>
      <xdr:col>0</xdr:col>
      <xdr:colOff>78796</xdr:colOff>
      <xdr:row>7</xdr:row>
      <xdr:rowOff>190348</xdr:rowOff>
    </xdr:from>
    <xdr:to>
      <xdr:col>5</xdr:col>
      <xdr:colOff>116030</xdr:colOff>
      <xdr:row>12</xdr:row>
      <xdr:rowOff>190349</xdr:rowOff>
    </xdr:to>
    <xdr:sp macro="" textlink="">
      <xdr:nvSpPr>
        <xdr:cNvPr id="6" name="Rectangle 5">
          <a:extLst>
            <a:ext uri="{FF2B5EF4-FFF2-40B4-BE49-F238E27FC236}">
              <a16:creationId xmlns:a16="http://schemas.microsoft.com/office/drawing/2014/main" id="{2A6455A7-24A9-4685-8151-9A91B4C1F461}"/>
            </a:ext>
          </a:extLst>
        </xdr:cNvPr>
        <xdr:cNvSpPr/>
      </xdr:nvSpPr>
      <xdr:spPr>
        <a:xfrm>
          <a:off x="78796" y="1523848"/>
          <a:ext cx="3085234" cy="95250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000" b="1"/>
            <a:t>Avg</a:t>
          </a:r>
          <a:r>
            <a:rPr lang="en-US" sz="2000" b="1"/>
            <a:t> Revenue</a:t>
          </a:r>
          <a:br>
            <a:rPr lang="en-US" sz="2000" b="1"/>
          </a:br>
          <a:r>
            <a:rPr lang="en-US" sz="2000" b="1"/>
            <a:t>$</a:t>
          </a:r>
          <a:r>
            <a:rPr lang="tr-TR" sz="2000" b="1"/>
            <a:t>539.16</a:t>
          </a:r>
          <a:endParaRPr lang="en-US" sz="2000" b="1"/>
        </a:p>
      </xdr:txBody>
    </xdr:sp>
    <xdr:clientData/>
  </xdr:twoCellAnchor>
  <xdr:twoCellAnchor>
    <xdr:from>
      <xdr:col>13</xdr:col>
      <xdr:colOff>344457</xdr:colOff>
      <xdr:row>8</xdr:row>
      <xdr:rowOff>8504</xdr:rowOff>
    </xdr:from>
    <xdr:to>
      <xdr:col>18</xdr:col>
      <xdr:colOff>357792</xdr:colOff>
      <xdr:row>13</xdr:row>
      <xdr:rowOff>8505</xdr:rowOff>
    </xdr:to>
    <xdr:sp macro="" textlink="">
      <xdr:nvSpPr>
        <xdr:cNvPr id="7" name="Rectangle 6">
          <a:extLst>
            <a:ext uri="{FF2B5EF4-FFF2-40B4-BE49-F238E27FC236}">
              <a16:creationId xmlns:a16="http://schemas.microsoft.com/office/drawing/2014/main" id="{1597F988-BEA4-4178-A69D-4801F810FCD5}"/>
            </a:ext>
          </a:extLst>
        </xdr:cNvPr>
        <xdr:cNvSpPr/>
      </xdr:nvSpPr>
      <xdr:spPr>
        <a:xfrm>
          <a:off x="22183377" y="14638904"/>
          <a:ext cx="3061335" cy="91440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000" b="1"/>
            <a:t>Avg</a:t>
          </a:r>
          <a:r>
            <a:rPr lang="en-US" sz="2000" b="1"/>
            <a:t> Profit</a:t>
          </a:r>
          <a:br>
            <a:rPr lang="en-US" sz="2000" b="1"/>
          </a:br>
          <a:r>
            <a:rPr lang="en-US" sz="2000" b="1"/>
            <a:t>$</a:t>
          </a:r>
          <a:r>
            <a:rPr lang="tr-TR" sz="2000" b="1"/>
            <a:t>193.8</a:t>
          </a:r>
          <a:endParaRPr lang="en-US" sz="2000" b="1"/>
        </a:p>
      </xdr:txBody>
    </xdr:sp>
    <xdr:clientData/>
  </xdr:twoCellAnchor>
  <xdr:twoCellAnchor>
    <xdr:from>
      <xdr:col>26</xdr:col>
      <xdr:colOff>594878</xdr:colOff>
      <xdr:row>8</xdr:row>
      <xdr:rowOff>8653</xdr:rowOff>
    </xdr:from>
    <xdr:to>
      <xdr:col>32</xdr:col>
      <xdr:colOff>13853</xdr:colOff>
      <xdr:row>13</xdr:row>
      <xdr:rowOff>8654</xdr:rowOff>
    </xdr:to>
    <xdr:sp macro="" textlink="">
      <xdr:nvSpPr>
        <xdr:cNvPr id="8" name="Rectangle 7">
          <a:extLst>
            <a:ext uri="{FF2B5EF4-FFF2-40B4-BE49-F238E27FC236}">
              <a16:creationId xmlns:a16="http://schemas.microsoft.com/office/drawing/2014/main" id="{3242D0C2-4C70-4D57-9704-BD39E44A69A9}"/>
            </a:ext>
          </a:extLst>
        </xdr:cNvPr>
        <xdr:cNvSpPr/>
      </xdr:nvSpPr>
      <xdr:spPr>
        <a:xfrm>
          <a:off x="16444478" y="1532653"/>
          <a:ext cx="3076575" cy="95250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000" b="0">
              <a:solidFill>
                <a:schemeClr val="lt1"/>
              </a:solidFill>
              <a:effectLst/>
              <a:latin typeface="+mn-lt"/>
              <a:ea typeface="+mn-ea"/>
              <a:cs typeface="+mn-cs"/>
            </a:rPr>
            <a:t>Avg</a:t>
          </a:r>
          <a:r>
            <a:rPr lang="tr-TR" sz="2000" b="0" baseline="0">
              <a:solidFill>
                <a:schemeClr val="lt1"/>
              </a:solidFill>
              <a:effectLst/>
              <a:latin typeface="+mn-lt"/>
              <a:ea typeface="+mn-ea"/>
              <a:cs typeface="+mn-cs"/>
            </a:rPr>
            <a:t> Delivery Time</a:t>
          </a:r>
          <a:br>
            <a:rPr lang="en-US" sz="2000" b="0">
              <a:solidFill>
                <a:schemeClr val="lt1"/>
              </a:solidFill>
              <a:effectLst/>
              <a:latin typeface="+mn-lt"/>
              <a:ea typeface="+mn-ea"/>
              <a:cs typeface="+mn-cs"/>
            </a:rPr>
          </a:br>
          <a:r>
            <a:rPr lang="tr-TR" sz="2000" b="0">
              <a:solidFill>
                <a:schemeClr val="lt1"/>
              </a:solidFill>
              <a:effectLst/>
              <a:latin typeface="+mn-lt"/>
              <a:ea typeface="+mn-ea"/>
              <a:cs typeface="+mn-cs"/>
            </a:rPr>
            <a:t>4.14 Days</a:t>
          </a:r>
          <a:endParaRPr lang="en-US" sz="2000" b="0">
            <a:effectLst/>
          </a:endParaRPr>
        </a:p>
        <a:p>
          <a:pPr algn="l"/>
          <a:endParaRPr lang="en-US" sz="1100"/>
        </a:p>
      </xdr:txBody>
    </xdr:sp>
    <xdr:clientData/>
  </xdr:twoCellAnchor>
  <xdr:twoCellAnchor editAs="oneCell">
    <xdr:from>
      <xdr:col>32</xdr:col>
      <xdr:colOff>256309</xdr:colOff>
      <xdr:row>8</xdr:row>
      <xdr:rowOff>48491</xdr:rowOff>
    </xdr:from>
    <xdr:to>
      <xdr:col>37</xdr:col>
      <xdr:colOff>332509</xdr:colOff>
      <xdr:row>20</xdr:row>
      <xdr:rowOff>133350</xdr:rowOff>
    </xdr:to>
    <mc:AlternateContent xmlns:mc="http://schemas.openxmlformats.org/markup-compatibility/2006" xmlns:a14="http://schemas.microsoft.com/office/drawing/2010/main">
      <mc:Choice Requires="a14">
        <xdr:graphicFrame macro="">
          <xdr:nvGraphicFramePr>
            <xdr:cNvPr id="9" name="OrderDay 2">
              <a:extLst>
                <a:ext uri="{FF2B5EF4-FFF2-40B4-BE49-F238E27FC236}">
                  <a16:creationId xmlns:a16="http://schemas.microsoft.com/office/drawing/2014/main" id="{BB4943A7-4C22-4513-9F51-6C56996D62C6}"/>
                </a:ext>
              </a:extLst>
            </xdr:cNvPr>
            <xdr:cNvGraphicFramePr/>
          </xdr:nvGraphicFramePr>
          <xdr:xfrm>
            <a:off x="0" y="0"/>
            <a:ext cx="0" cy="0"/>
          </xdr:xfrm>
          <a:graphic>
            <a:graphicData uri="http://schemas.microsoft.com/office/drawing/2010/slicer">
              <sle:slicer xmlns:sle="http://schemas.microsoft.com/office/drawing/2010/slicer" name="OrderDay 2"/>
            </a:graphicData>
          </a:graphic>
        </xdr:graphicFrame>
      </mc:Choice>
      <mc:Fallback xmlns="">
        <xdr:sp macro="" textlink="">
          <xdr:nvSpPr>
            <xdr:cNvPr id="0" name=""/>
            <xdr:cNvSpPr>
              <a:spLocks noTextEdit="1"/>
            </xdr:cNvSpPr>
          </xdr:nvSpPr>
          <xdr:spPr>
            <a:xfrm>
              <a:off x="19763509" y="1572491"/>
              <a:ext cx="3124200" cy="2370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78798</xdr:colOff>
      <xdr:row>11</xdr:row>
      <xdr:rowOff>94815</xdr:rowOff>
    </xdr:from>
    <xdr:to>
      <xdr:col>22</xdr:col>
      <xdr:colOff>553870</xdr:colOff>
      <xdr:row>40</xdr:row>
      <xdr:rowOff>57842</xdr:rowOff>
    </xdr:to>
    <xdr:graphicFrame macro="">
      <xdr:nvGraphicFramePr>
        <xdr:cNvPr id="2" name="Chart 1">
          <a:extLst>
            <a:ext uri="{FF2B5EF4-FFF2-40B4-BE49-F238E27FC236}">
              <a16:creationId xmlns:a16="http://schemas.microsoft.com/office/drawing/2014/main" id="{CEF007DB-1C88-4590-9B57-04E482EB9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78799</xdr:colOff>
      <xdr:row>6</xdr:row>
      <xdr:rowOff>94557</xdr:rowOff>
    </xdr:from>
    <xdr:to>
      <xdr:col>6</xdr:col>
      <xdr:colOff>116033</xdr:colOff>
      <xdr:row>11</xdr:row>
      <xdr:rowOff>94557</xdr:rowOff>
    </xdr:to>
    <xdr:sp macro="" textlink="">
      <xdr:nvSpPr>
        <xdr:cNvPr id="3" name="Rectangle 2">
          <a:extLst>
            <a:ext uri="{FF2B5EF4-FFF2-40B4-BE49-F238E27FC236}">
              <a16:creationId xmlns:a16="http://schemas.microsoft.com/office/drawing/2014/main" id="{FA6F5D74-1C84-41F3-B1A3-E738FAC11128}"/>
            </a:ext>
          </a:extLst>
        </xdr:cNvPr>
        <xdr:cNvSpPr/>
      </xdr:nvSpPr>
      <xdr:spPr>
        <a:xfrm>
          <a:off x="13992919" y="1191837"/>
          <a:ext cx="3085234" cy="9144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Total Revenue</a:t>
          </a:r>
          <a:br>
            <a:rPr lang="en-US" sz="2000" b="1"/>
          </a:br>
          <a:r>
            <a:rPr lang="en-US" sz="2000" b="1"/>
            <a:t>$53,915</a:t>
          </a:r>
        </a:p>
      </xdr:txBody>
    </xdr:sp>
    <xdr:clientData/>
  </xdr:twoCellAnchor>
  <xdr:twoCellAnchor>
    <xdr:from>
      <xdr:col>9</xdr:col>
      <xdr:colOff>289648</xdr:colOff>
      <xdr:row>6</xdr:row>
      <xdr:rowOff>98021</xdr:rowOff>
    </xdr:from>
    <xdr:to>
      <xdr:col>14</xdr:col>
      <xdr:colOff>302983</xdr:colOff>
      <xdr:row>11</xdr:row>
      <xdr:rowOff>98021</xdr:rowOff>
    </xdr:to>
    <xdr:sp macro="" textlink="">
      <xdr:nvSpPr>
        <xdr:cNvPr id="4" name="Rectangle 3">
          <a:extLst>
            <a:ext uri="{FF2B5EF4-FFF2-40B4-BE49-F238E27FC236}">
              <a16:creationId xmlns:a16="http://schemas.microsoft.com/office/drawing/2014/main" id="{3C8AE856-1DEC-41B9-AB03-42CC8D543B00}"/>
            </a:ext>
          </a:extLst>
        </xdr:cNvPr>
        <xdr:cNvSpPr/>
      </xdr:nvSpPr>
      <xdr:spPr>
        <a:xfrm>
          <a:off x="19080568" y="1195301"/>
          <a:ext cx="3061335" cy="9144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Total Profit</a:t>
          </a:r>
          <a:br>
            <a:rPr lang="en-US" sz="2000" b="1"/>
          </a:br>
          <a:r>
            <a:rPr lang="en-US" sz="2000" b="1"/>
            <a:t>$19,377</a:t>
          </a:r>
        </a:p>
      </xdr:txBody>
    </xdr:sp>
    <xdr:clientData/>
  </xdr:twoCellAnchor>
  <xdr:twoCellAnchor>
    <xdr:from>
      <xdr:col>17</xdr:col>
      <xdr:colOff>485256</xdr:colOff>
      <xdr:row>6</xdr:row>
      <xdr:rowOff>103366</xdr:rowOff>
    </xdr:from>
    <xdr:to>
      <xdr:col>22</xdr:col>
      <xdr:colOff>513831</xdr:colOff>
      <xdr:row>11</xdr:row>
      <xdr:rowOff>103366</xdr:rowOff>
    </xdr:to>
    <xdr:sp macro="" textlink="">
      <xdr:nvSpPr>
        <xdr:cNvPr id="5" name="Rectangle 4">
          <a:extLst>
            <a:ext uri="{FF2B5EF4-FFF2-40B4-BE49-F238E27FC236}">
              <a16:creationId xmlns:a16="http://schemas.microsoft.com/office/drawing/2014/main" id="{37BBD85C-1136-4879-A2F4-EFF00D3A6E31}"/>
            </a:ext>
          </a:extLst>
        </xdr:cNvPr>
        <xdr:cNvSpPr/>
      </xdr:nvSpPr>
      <xdr:spPr>
        <a:xfrm>
          <a:off x="10848456" y="1184021"/>
          <a:ext cx="3076575" cy="90054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000" b="0">
              <a:solidFill>
                <a:schemeClr val="lt1"/>
              </a:solidFill>
              <a:effectLst/>
              <a:latin typeface="+mn-lt"/>
              <a:ea typeface="+mn-ea"/>
              <a:cs typeface="+mn-cs"/>
            </a:rPr>
            <a:t>Profit Margin </a:t>
          </a:r>
          <a:br>
            <a:rPr lang="en-US" sz="2000" b="0">
              <a:solidFill>
                <a:schemeClr val="lt1"/>
              </a:solidFill>
              <a:effectLst/>
              <a:latin typeface="+mn-lt"/>
              <a:ea typeface="+mn-ea"/>
              <a:cs typeface="+mn-cs"/>
            </a:rPr>
          </a:br>
          <a:r>
            <a:rPr lang="tr-TR" sz="2000" b="0">
              <a:solidFill>
                <a:schemeClr val="lt1"/>
              </a:solidFill>
              <a:effectLst/>
              <a:latin typeface="+mn-lt"/>
              <a:ea typeface="+mn-ea"/>
              <a:cs typeface="+mn-cs"/>
            </a:rPr>
            <a:t>%35.9</a:t>
          </a:r>
          <a:endParaRPr lang="en-US" sz="2000" b="0">
            <a:effectLst/>
          </a:endParaRPr>
        </a:p>
        <a:p>
          <a:pPr algn="l"/>
          <a:endParaRPr lang="en-US" sz="1100"/>
        </a:p>
      </xdr:txBody>
    </xdr:sp>
    <xdr:clientData/>
  </xdr:twoCellAnchor>
  <xdr:twoCellAnchor>
    <xdr:from>
      <xdr:col>1</xdr:col>
      <xdr:colOff>78798</xdr:colOff>
      <xdr:row>40</xdr:row>
      <xdr:rowOff>75645</xdr:rowOff>
    </xdr:from>
    <xdr:to>
      <xdr:col>22</xdr:col>
      <xdr:colOff>553870</xdr:colOff>
      <xdr:row>69</xdr:row>
      <xdr:rowOff>25804</xdr:rowOff>
    </xdr:to>
    <xdr:graphicFrame macro="">
      <xdr:nvGraphicFramePr>
        <xdr:cNvPr id="6" name="Chart 5">
          <a:extLst>
            <a:ext uri="{FF2B5EF4-FFF2-40B4-BE49-F238E27FC236}">
              <a16:creationId xmlns:a16="http://schemas.microsoft.com/office/drawing/2014/main" id="{42223B1D-C16B-48E6-BFB8-ED7B35234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78799</xdr:colOff>
      <xdr:row>0</xdr:row>
      <xdr:rowOff>0</xdr:rowOff>
    </xdr:from>
    <xdr:to>
      <xdr:col>28</xdr:col>
      <xdr:colOff>69273</xdr:colOff>
      <xdr:row>6</xdr:row>
      <xdr:rowOff>55938</xdr:rowOff>
    </xdr:to>
    <xdr:sp macro="" textlink="">
      <xdr:nvSpPr>
        <xdr:cNvPr id="7" name="Rectangle 6">
          <a:extLst>
            <a:ext uri="{FF2B5EF4-FFF2-40B4-BE49-F238E27FC236}">
              <a16:creationId xmlns:a16="http://schemas.microsoft.com/office/drawing/2014/main" id="{9F10FACC-253F-4F4F-95D3-CBCDC69503A6}"/>
            </a:ext>
          </a:extLst>
        </xdr:cNvPr>
        <xdr:cNvSpPr/>
      </xdr:nvSpPr>
      <xdr:spPr>
        <a:xfrm>
          <a:off x="688399" y="0"/>
          <a:ext cx="16449674" cy="11365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t>Category</a:t>
          </a:r>
          <a:r>
            <a:rPr lang="tr-TR" sz="2400" b="1" baseline="0"/>
            <a:t> </a:t>
          </a:r>
          <a:r>
            <a:rPr lang="en-US" sz="2400" b="1"/>
            <a:t>Sales Performance Dashboard</a:t>
          </a:r>
        </a:p>
      </xdr:txBody>
    </xdr:sp>
    <xdr:clientData/>
  </xdr:twoCellAnchor>
  <xdr:twoCellAnchor editAs="oneCell">
    <xdr:from>
      <xdr:col>23</xdr:col>
      <xdr:colOff>277090</xdr:colOff>
      <xdr:row>6</xdr:row>
      <xdr:rowOff>96983</xdr:rowOff>
    </xdr:from>
    <xdr:to>
      <xdr:col>28</xdr:col>
      <xdr:colOff>96981</xdr:colOff>
      <xdr:row>19</xdr:row>
      <xdr:rowOff>96982</xdr:rowOff>
    </xdr:to>
    <mc:AlternateContent xmlns:mc="http://schemas.openxmlformats.org/markup-compatibility/2006" xmlns:a14="http://schemas.microsoft.com/office/drawing/2010/main">
      <mc:Choice Requires="a14">
        <xdr:graphicFrame macro="">
          <xdr:nvGraphicFramePr>
            <xdr:cNvPr id="9" name="OrderDay 1">
              <a:extLst>
                <a:ext uri="{FF2B5EF4-FFF2-40B4-BE49-F238E27FC236}">
                  <a16:creationId xmlns:a16="http://schemas.microsoft.com/office/drawing/2014/main" id="{DB98A07D-0967-4D81-B261-A127FAA34252}"/>
                </a:ext>
              </a:extLst>
            </xdr:cNvPr>
            <xdr:cNvGraphicFramePr/>
          </xdr:nvGraphicFramePr>
          <xdr:xfrm>
            <a:off x="0" y="0"/>
            <a:ext cx="0" cy="0"/>
          </xdr:xfrm>
          <a:graphic>
            <a:graphicData uri="http://schemas.microsoft.com/office/drawing/2010/slicer">
              <sle:slicer xmlns:sle="http://schemas.microsoft.com/office/drawing/2010/slicer" name="OrderDay 1"/>
            </a:graphicData>
          </a:graphic>
        </xdr:graphicFrame>
      </mc:Choice>
      <mc:Fallback xmlns="">
        <xdr:sp macro="" textlink="">
          <xdr:nvSpPr>
            <xdr:cNvPr id="0" name=""/>
            <xdr:cNvSpPr>
              <a:spLocks noTextEdit="1"/>
            </xdr:cNvSpPr>
          </xdr:nvSpPr>
          <xdr:spPr>
            <a:xfrm>
              <a:off x="14297890" y="1177638"/>
              <a:ext cx="2867891" cy="2341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t Izci" refreshedDate="46098.420259027778" createdVersion="8" refreshedVersion="8" minRefreshableVersion="3" recordCount="100" xr:uid="{82F055ED-64AE-413E-A4E3-55191A8379CE}">
  <cacheSource type="worksheet">
    <worksheetSource ref="A1:P101" sheet="Data"/>
  </cacheSource>
  <cacheFields count="18">
    <cacheField name="OrderDate" numFmtId="0">
      <sharedItems/>
    </cacheField>
    <cacheField name="OrderDay" numFmtId="0">
      <sharedItems count="7">
        <s v="Monday"/>
        <s v="Tuesday"/>
        <s v="Wednesday"/>
        <s v="Thursday"/>
        <s v="Friday"/>
        <s v="Saturday"/>
        <s v="Sunday"/>
      </sharedItems>
    </cacheField>
    <cacheField name="Day_Number" numFmtId="0">
      <sharedItems containsSemiMixedTypes="0" containsString="0" containsNumber="1" containsInteger="1" minValue="1" maxValue="7"/>
    </cacheField>
    <cacheField name="Company" numFmtId="0">
      <sharedItems count="2">
        <s v="Nike"/>
        <s v="Adidas"/>
      </sharedItems>
    </cacheField>
    <cacheField name="Region" numFmtId="0">
      <sharedItems count="4">
        <s v="Asia"/>
        <s v="Europe"/>
        <s v="South America"/>
        <s v="North America"/>
      </sharedItems>
    </cacheField>
    <cacheField name="Category" numFmtId="0">
      <sharedItems count="3">
        <s v="Accessories"/>
        <s v="Shoes"/>
        <s v="Apparel"/>
      </sharedItems>
    </cacheField>
    <cacheField name="Product" numFmtId="0">
      <sharedItems/>
    </cacheField>
    <cacheField name="Payment Method" numFmtId="0">
      <sharedItems/>
    </cacheField>
    <cacheField name="Quantity" numFmtId="0">
      <sharedItems containsSemiMixedTypes="0" containsString="0" containsNumber="1" containsInteger="1" minValue="1" maxValue="10"/>
    </cacheField>
    <cacheField name="Per_Cost" numFmtId="164">
      <sharedItems containsSemiMixedTypes="0" containsString="0" containsNumber="1" minValue="20.52" maxValue="117.02"/>
    </cacheField>
    <cacheField name="Sell Price" numFmtId="164">
      <sharedItems containsSemiMixedTypes="0" containsString="0" containsNumber="1" minValue="29.73" maxValue="203.53"/>
    </cacheField>
    <cacheField name="Total Cost" numFmtId="164">
      <sharedItems containsSemiMixedTypes="0" containsString="0" containsNumber="1" minValue="30.08" maxValue="1041.1199999999999"/>
    </cacheField>
    <cacheField name="Total Revenue" numFmtId="164">
      <sharedItems containsSemiMixedTypes="0" containsString="0" containsNumber="1" minValue="53.81" maxValue="1639.44"/>
    </cacheField>
    <cacheField name="Profit" numFmtId="164">
      <sharedItems containsSemiMixedTypes="0" containsString="0" containsNumber="1" minValue="17.52" maxValue="722.16"/>
    </cacheField>
    <cacheField name="Delivery Time (Days)" numFmtId="0">
      <sharedItems containsSemiMixedTypes="0" containsString="0" containsNumber="1" containsInteger="1" minValue="1" maxValue="10"/>
    </cacheField>
    <cacheField name="Rate" numFmtId="2">
      <sharedItems containsSemiMixedTypes="0" containsString="0" containsNumber="1" containsInteger="1" minValue="1" maxValue="5"/>
    </cacheField>
    <cacheField name="Profit_Per" numFmtId="164">
      <sharedItems containsSemiMixedTypes="0" containsString="0" containsNumber="1" minValue="7.7700000000000005" maxValue="90.18"/>
    </cacheField>
    <cacheField name="Profit Margin" numFmtId="0" formula="Profit/'Total Revenue'" databaseField="0"/>
  </cacheFields>
  <extLst>
    <ext xmlns:x14="http://schemas.microsoft.com/office/spreadsheetml/2009/9/main" uri="{725AE2AE-9491-48be-B2B4-4EB974FC3084}">
      <x14:pivotCacheDefinition pivotCacheId="7721675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t Izci" refreshedDate="46098.448442939814" createdVersion="8" refreshedVersion="8" minRefreshableVersion="3" recordCount="100" xr:uid="{1955FF34-5015-4B57-8CD6-0F880D938EDD}">
  <cacheSource type="worksheet">
    <worksheetSource ref="A1:Q101" sheet="Daily Performance "/>
  </cacheSource>
  <cacheFields count="18">
    <cacheField name="OrderDate" numFmtId="0">
      <sharedItems/>
    </cacheField>
    <cacheField name="OrderDay" numFmtId="0">
      <sharedItems count="7">
        <s v="Monday"/>
        <s v="Tuesday"/>
        <s v="Wednesday"/>
        <s v="Thursday"/>
        <s v="Friday"/>
        <s v="Saturday"/>
        <s v="Sunday"/>
      </sharedItems>
      <fieldGroup par="17"/>
    </cacheField>
    <cacheField name="Day_Number" numFmtId="0">
      <sharedItems containsSemiMixedTypes="0" containsString="0" containsNumber="1" containsInteger="1" minValue="1" maxValue="7"/>
    </cacheField>
    <cacheField name="Company" numFmtId="0">
      <sharedItems/>
    </cacheField>
    <cacheField name="Region" numFmtId="0">
      <sharedItems/>
    </cacheField>
    <cacheField name="Category" numFmtId="0">
      <sharedItems/>
    </cacheField>
    <cacheField name="Product" numFmtId="0">
      <sharedItems/>
    </cacheField>
    <cacheField name="Payment Method" numFmtId="0">
      <sharedItems/>
    </cacheField>
    <cacheField name="Quantity" numFmtId="0">
      <sharedItems containsSemiMixedTypes="0" containsString="0" containsNumber="1" containsInteger="1" minValue="1" maxValue="10"/>
    </cacheField>
    <cacheField name="Per_Cost" numFmtId="164">
      <sharedItems containsSemiMixedTypes="0" containsString="0" containsNumber="1" minValue="20.52" maxValue="117.02"/>
    </cacheField>
    <cacheField name="Sell Price" numFmtId="164">
      <sharedItems containsSemiMixedTypes="0" containsString="0" containsNumber="1" minValue="29.73" maxValue="203.53"/>
    </cacheField>
    <cacheField name="Total Cost" numFmtId="164">
      <sharedItems containsSemiMixedTypes="0" containsString="0" containsNumber="1" minValue="30.08" maxValue="1041.1199999999999"/>
    </cacheField>
    <cacheField name="Total Revenue" numFmtId="164">
      <sharedItems containsSemiMixedTypes="0" containsString="0" containsNumber="1" minValue="53.81" maxValue="1639.44"/>
    </cacheField>
    <cacheField name="Profit" numFmtId="164">
      <sharedItems containsSemiMixedTypes="0" containsString="0" containsNumber="1" minValue="17.52" maxValue="722.16"/>
    </cacheField>
    <cacheField name="Delivery Time (Days)" numFmtId="0">
      <sharedItems containsSemiMixedTypes="0" containsString="0" containsNumber="1" containsInteger="1" minValue="1" maxValue="10"/>
    </cacheField>
    <cacheField name="Rate" numFmtId="2">
      <sharedItems containsSemiMixedTypes="0" containsString="0" containsNumber="1" containsInteger="1" minValue="1" maxValue="5"/>
    </cacheField>
    <cacheField name="Profit_Per" numFmtId="164">
      <sharedItems containsSemiMixedTypes="0" containsString="0" containsNumber="1" minValue="7.7700000000000005" maxValue="90.18"/>
    </cacheField>
    <cacheField name="OrderDay2" numFmtId="0" databaseField="0">
      <fieldGroup base="1">
        <discretePr count="7">
          <x v="0"/>
          <x v="0"/>
          <x v="0"/>
          <x v="0"/>
          <x v="0"/>
          <x v="1"/>
          <x v="1"/>
        </discretePr>
        <groupItems count="2">
          <s v="Group1"/>
          <s v="Group2"/>
        </groupItems>
      </fieldGroup>
    </cacheField>
  </cacheFields>
  <extLst>
    <ext xmlns:x14="http://schemas.microsoft.com/office/spreadsheetml/2009/9/main" uri="{725AE2AE-9491-48be-B2B4-4EB974FC3084}">
      <x14:pivotCacheDefinition pivotCacheId="1305883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024-01-02"/>
    <x v="0"/>
    <n v="1"/>
    <x v="0"/>
    <x v="0"/>
    <x v="0"/>
    <s v="Cap"/>
    <s v="Bank Transfer"/>
    <n v="5"/>
    <n v="29.3"/>
    <n v="48"/>
    <n v="146.5"/>
    <n v="240"/>
    <n v="93.5"/>
    <n v="10"/>
    <n v="5"/>
    <n v="18.7"/>
  </r>
  <r>
    <s v="2024-02-02"/>
    <x v="0"/>
    <n v="1"/>
    <x v="1"/>
    <x v="0"/>
    <x v="0"/>
    <s v="Cap"/>
    <s v="Bank Transfer"/>
    <n v="1"/>
    <n v="30.08"/>
    <n v="53.81"/>
    <n v="30.08"/>
    <n v="53.81"/>
    <n v="23.73"/>
    <n v="10"/>
    <n v="5"/>
    <n v="23.73"/>
  </r>
  <r>
    <s v="2024-03-02"/>
    <x v="0"/>
    <n v="1"/>
    <x v="0"/>
    <x v="1"/>
    <x v="1"/>
    <s v="Sneakers"/>
    <s v="Credit Card"/>
    <n v="5"/>
    <n v="56.86"/>
    <n v="92.72"/>
    <n v="284.3"/>
    <n v="463.6"/>
    <n v="179.3"/>
    <n v="1"/>
    <n v="4"/>
    <n v="35.86"/>
  </r>
  <r>
    <s v="2024-03-09"/>
    <x v="0"/>
    <n v="1"/>
    <x v="0"/>
    <x v="1"/>
    <x v="2"/>
    <s v="T-shirt"/>
    <s v="Credit Card"/>
    <n v="4"/>
    <n v="97.03"/>
    <n v="161.38999999999999"/>
    <n v="388.12"/>
    <n v="645.55999999999995"/>
    <n v="257.44"/>
    <n v="3"/>
    <n v="3"/>
    <n v="64.36"/>
  </r>
  <r>
    <s v="2024-04-16"/>
    <x v="0"/>
    <n v="1"/>
    <x v="0"/>
    <x v="0"/>
    <x v="2"/>
    <s v="Hoodie"/>
    <s v="Cash"/>
    <n v="5"/>
    <n v="90.12"/>
    <n v="134.31"/>
    <n v="450.6"/>
    <n v="671.55"/>
    <n v="220.95"/>
    <n v="2"/>
    <n v="3"/>
    <n v="44.19"/>
  </r>
  <r>
    <s v="2024-05-02"/>
    <x v="0"/>
    <n v="1"/>
    <x v="1"/>
    <x v="2"/>
    <x v="2"/>
    <s v="Jacket"/>
    <s v="Cash"/>
    <n v="2"/>
    <n v="109.74"/>
    <n v="190.76"/>
    <n v="219.48"/>
    <n v="381.52"/>
    <n v="162.04"/>
    <n v="1"/>
    <n v="4"/>
    <n v="81.02"/>
  </r>
  <r>
    <s v="2024-05-02"/>
    <x v="0"/>
    <n v="1"/>
    <x v="0"/>
    <x v="3"/>
    <x v="1"/>
    <s v="Training Shoes"/>
    <s v="Credit Card"/>
    <n v="6"/>
    <n v="100.23"/>
    <n v="151.04"/>
    <n v="601.38"/>
    <n v="906.24"/>
    <n v="304.86"/>
    <n v="4"/>
    <n v="1"/>
    <n v="50.81"/>
  </r>
  <r>
    <s v="2024-06-02"/>
    <x v="0"/>
    <n v="1"/>
    <x v="0"/>
    <x v="1"/>
    <x v="1"/>
    <s v="Training Shoes"/>
    <s v="Bank Transfer"/>
    <n v="8"/>
    <n v="78.75"/>
    <n v="132.72"/>
    <n v="630"/>
    <n v="1061.76"/>
    <n v="431.76"/>
    <n v="7"/>
    <n v="3"/>
    <n v="53.97"/>
  </r>
  <r>
    <s v="2024-06-16"/>
    <x v="0"/>
    <n v="1"/>
    <x v="0"/>
    <x v="2"/>
    <x v="1"/>
    <s v="Training Shoes"/>
    <s v="Credit Card"/>
    <n v="2"/>
    <n v="86.69"/>
    <n v="136.69"/>
    <n v="173.38"/>
    <n v="273.38"/>
    <n v="100"/>
    <n v="2"/>
    <n v="2"/>
    <n v="50"/>
  </r>
  <r>
    <s v="2024-07-16"/>
    <x v="0"/>
    <n v="1"/>
    <x v="1"/>
    <x v="3"/>
    <x v="1"/>
    <s v="Training Shoes"/>
    <s v="Cash"/>
    <n v="8"/>
    <n v="65.86"/>
    <n v="109.38"/>
    <n v="526.88"/>
    <n v="875.04"/>
    <n v="348.16"/>
    <n v="3"/>
    <n v="2"/>
    <n v="43.52"/>
  </r>
  <r>
    <s v="2024-07-23"/>
    <x v="0"/>
    <n v="1"/>
    <x v="0"/>
    <x v="0"/>
    <x v="0"/>
    <s v="Socks"/>
    <s v="Credit Card"/>
    <n v="6"/>
    <n v="60.64"/>
    <n v="83.46"/>
    <n v="363.84"/>
    <n v="500.76"/>
    <n v="136.91999999999999"/>
    <n v="2"/>
    <n v="1"/>
    <n v="22.819999999999997"/>
  </r>
  <r>
    <s v="2024-07-23"/>
    <x v="0"/>
    <n v="1"/>
    <x v="0"/>
    <x v="1"/>
    <x v="2"/>
    <s v="T-shirt"/>
    <s v="Bank Transfer"/>
    <n v="5"/>
    <n v="71.47"/>
    <n v="120.99"/>
    <n v="357.35"/>
    <n v="604.95000000000005"/>
    <n v="247.6"/>
    <n v="9"/>
    <n v="3"/>
    <n v="49.519999999999996"/>
  </r>
  <r>
    <s v="2024-10-02"/>
    <x v="0"/>
    <n v="1"/>
    <x v="0"/>
    <x v="1"/>
    <x v="0"/>
    <s v="Socks"/>
    <s v="Bank Transfer"/>
    <n v="5"/>
    <n v="55.17"/>
    <n v="91.32"/>
    <n v="275.85000000000002"/>
    <n v="456.6"/>
    <n v="180.75"/>
    <n v="8"/>
    <n v="4"/>
    <n v="36.15"/>
  </r>
  <r>
    <s v="2024-10-09"/>
    <x v="0"/>
    <n v="1"/>
    <x v="0"/>
    <x v="3"/>
    <x v="2"/>
    <s v="Hoodie"/>
    <s v="Cash"/>
    <n v="8"/>
    <n v="25.26"/>
    <n v="42.86"/>
    <n v="202.08"/>
    <n v="342.88"/>
    <n v="140.80000000000001"/>
    <n v="3"/>
    <n v="3"/>
    <n v="17.600000000000001"/>
  </r>
  <r>
    <s v="2024-10-30"/>
    <x v="0"/>
    <n v="1"/>
    <x v="1"/>
    <x v="1"/>
    <x v="2"/>
    <s v="T-shirt"/>
    <s v="Credit Card"/>
    <n v="7"/>
    <n v="95.92"/>
    <n v="166.26"/>
    <n v="671.44"/>
    <n v="1163.82"/>
    <n v="492.38"/>
    <n v="4"/>
    <n v="5"/>
    <n v="70.34"/>
  </r>
  <r>
    <s v="2024-12-02"/>
    <x v="0"/>
    <n v="1"/>
    <x v="1"/>
    <x v="2"/>
    <x v="2"/>
    <s v="Jacket"/>
    <s v="Cash"/>
    <n v="9"/>
    <n v="64.83"/>
    <n v="103.26"/>
    <n v="583.47"/>
    <n v="929.34"/>
    <n v="345.87"/>
    <n v="3"/>
    <n v="4"/>
    <n v="38.43"/>
  </r>
  <r>
    <s v="2024-01-03"/>
    <x v="1"/>
    <n v="2"/>
    <x v="0"/>
    <x v="3"/>
    <x v="2"/>
    <s v="T-shirt"/>
    <s v="Credit Card"/>
    <n v="8"/>
    <n v="97.06"/>
    <n v="174.65"/>
    <n v="776.48"/>
    <n v="1397.2"/>
    <n v="620.72"/>
    <n v="5"/>
    <n v="1"/>
    <n v="77.59"/>
  </r>
  <r>
    <s v="2024-04-10"/>
    <x v="1"/>
    <n v="2"/>
    <x v="1"/>
    <x v="0"/>
    <x v="2"/>
    <s v="T-shirt"/>
    <s v="Cash"/>
    <n v="10"/>
    <n v="97.75"/>
    <n v="152.79"/>
    <n v="977.5"/>
    <n v="1527.9"/>
    <n v="550.4"/>
    <n v="5"/>
    <n v="5"/>
    <n v="55.04"/>
  </r>
  <r>
    <s v="2024-05-24"/>
    <x v="1"/>
    <n v="2"/>
    <x v="1"/>
    <x v="3"/>
    <x v="1"/>
    <s v="Running Shoes"/>
    <s v="Cash"/>
    <n v="3"/>
    <n v="32.25"/>
    <n v="53.94"/>
    <n v="96.75"/>
    <n v="161.82"/>
    <n v="65.069999999999993"/>
    <n v="3"/>
    <n v="4"/>
    <n v="21.689999999999998"/>
  </r>
  <r>
    <s v="2024-06-24"/>
    <x v="1"/>
    <n v="2"/>
    <x v="0"/>
    <x v="1"/>
    <x v="0"/>
    <s v="Cap"/>
    <s v="Cash"/>
    <n v="7"/>
    <n v="76.7"/>
    <n v="134.41999999999999"/>
    <n v="536.9"/>
    <n v="940.94"/>
    <n v="404.04"/>
    <n v="4"/>
    <n v="4"/>
    <n v="57.720000000000006"/>
  </r>
  <r>
    <s v="2024-07-31"/>
    <x v="1"/>
    <n v="2"/>
    <x v="0"/>
    <x v="1"/>
    <x v="2"/>
    <s v="T-shirt"/>
    <s v="Cash"/>
    <n v="1"/>
    <n v="103.98"/>
    <n v="155.63999999999999"/>
    <n v="103.98"/>
    <n v="155.63999999999999"/>
    <n v="51.66"/>
    <n v="5"/>
    <n v="2"/>
    <n v="51.66"/>
  </r>
  <r>
    <s v="2024-08-10"/>
    <x v="1"/>
    <n v="2"/>
    <x v="0"/>
    <x v="2"/>
    <x v="1"/>
    <s v="Training Shoes"/>
    <s v="Bank Transfer"/>
    <n v="8"/>
    <n v="91.99"/>
    <n v="142.63999999999999"/>
    <n v="735.92"/>
    <n v="1141.1199999999999"/>
    <n v="405.2"/>
    <n v="6"/>
    <n v="2"/>
    <n v="50.65"/>
  </r>
  <r>
    <s v="2024-09-03"/>
    <x v="1"/>
    <n v="2"/>
    <x v="1"/>
    <x v="1"/>
    <x v="2"/>
    <s v="Jacket"/>
    <s v="Cash"/>
    <n v="8"/>
    <n v="64.19"/>
    <n v="103.64"/>
    <n v="513.52"/>
    <n v="829.12"/>
    <n v="315.60000000000002"/>
    <n v="2"/>
    <n v="5"/>
    <n v="39.450000000000003"/>
  </r>
  <r>
    <s v="2024-10-31"/>
    <x v="1"/>
    <n v="2"/>
    <x v="1"/>
    <x v="3"/>
    <x v="1"/>
    <s v="Sneakers"/>
    <s v="Bank Transfer"/>
    <n v="6"/>
    <n v="67.34"/>
    <n v="115.92"/>
    <n v="404.04"/>
    <n v="695.52"/>
    <n v="291.48"/>
    <n v="6"/>
    <n v="3"/>
    <n v="48.580000000000005"/>
  </r>
  <r>
    <s v="2024-10-31"/>
    <x v="1"/>
    <n v="2"/>
    <x v="1"/>
    <x v="0"/>
    <x v="2"/>
    <s v="T-shirt"/>
    <s v="Cash"/>
    <n v="1"/>
    <n v="62.7"/>
    <n v="103.45"/>
    <n v="62.7"/>
    <n v="103.45"/>
    <n v="40.75"/>
    <n v="5"/>
    <n v="5"/>
    <n v="40.75"/>
  </r>
  <r>
    <s v="2024-10-31"/>
    <x v="1"/>
    <n v="2"/>
    <x v="0"/>
    <x v="0"/>
    <x v="2"/>
    <s v="Jacket"/>
    <s v="Bank Transfer"/>
    <n v="3"/>
    <n v="39.03"/>
    <n v="64.77"/>
    <n v="117.09"/>
    <n v="194.31"/>
    <n v="77.22"/>
    <n v="9"/>
    <n v="3"/>
    <n v="25.74"/>
  </r>
  <r>
    <s v="2024-01-25"/>
    <x v="2"/>
    <n v="3"/>
    <x v="0"/>
    <x v="2"/>
    <x v="0"/>
    <s v="Cap"/>
    <s v="Cash"/>
    <n v="3"/>
    <n v="74.790000000000006"/>
    <n v="120.38"/>
    <n v="224.37"/>
    <n v="361.14"/>
    <n v="136.77000000000001"/>
    <n v="2"/>
    <n v="1"/>
    <n v="45.59"/>
  </r>
  <r>
    <s v="2024-02-11"/>
    <x v="2"/>
    <n v="3"/>
    <x v="1"/>
    <x v="3"/>
    <x v="1"/>
    <s v="Running Shoes"/>
    <s v="Credit Card"/>
    <n v="9"/>
    <n v="37.1"/>
    <n v="50"/>
    <n v="333.9"/>
    <n v="450"/>
    <n v="116.1"/>
    <n v="4"/>
    <n v="2"/>
    <n v="12.899999999999999"/>
  </r>
  <r>
    <s v="2024-03-11"/>
    <x v="2"/>
    <n v="3"/>
    <x v="1"/>
    <x v="0"/>
    <x v="2"/>
    <s v="T-shirt"/>
    <s v="Cash"/>
    <n v="10"/>
    <n v="24.51"/>
    <n v="32.83"/>
    <n v="245.1"/>
    <n v="328.3"/>
    <n v="83.2"/>
    <n v="5"/>
    <n v="4"/>
    <n v="8.32"/>
  </r>
  <r>
    <s v="2024-04-11"/>
    <x v="2"/>
    <n v="3"/>
    <x v="0"/>
    <x v="1"/>
    <x v="2"/>
    <s v="Jacket"/>
    <s v="Credit Card"/>
    <n v="5"/>
    <n v="57.12"/>
    <n v="85.73"/>
    <n v="285.60000000000002"/>
    <n v="428.65"/>
    <n v="143.05000000000001"/>
    <n v="3"/>
    <n v="4"/>
    <n v="28.610000000000003"/>
  </r>
  <r>
    <s v="2024-05-11"/>
    <x v="2"/>
    <n v="3"/>
    <x v="0"/>
    <x v="3"/>
    <x v="1"/>
    <s v="Sneakers"/>
    <s v="Cash"/>
    <n v="5"/>
    <n v="99.83"/>
    <n v="168.93"/>
    <n v="499.15"/>
    <n v="844.65"/>
    <n v="345.5"/>
    <n v="4"/>
    <n v="1"/>
    <n v="69.099999999999994"/>
  </r>
  <r>
    <s v="2024-07-18"/>
    <x v="2"/>
    <n v="3"/>
    <x v="1"/>
    <x v="1"/>
    <x v="2"/>
    <s v="Jacket"/>
    <s v="Cash"/>
    <n v="6"/>
    <n v="79.72"/>
    <n v="106.83"/>
    <n v="478.32"/>
    <n v="640.98"/>
    <n v="162.66"/>
    <n v="3"/>
    <n v="2"/>
    <n v="27.11"/>
  </r>
  <r>
    <s v="2024-09-11"/>
    <x v="2"/>
    <n v="3"/>
    <x v="0"/>
    <x v="0"/>
    <x v="0"/>
    <s v="Backpack"/>
    <s v="Bank Transfer"/>
    <n v="9"/>
    <n v="115.68"/>
    <n v="179.07"/>
    <n v="1041.1199999999999"/>
    <n v="1611.63"/>
    <n v="570.51"/>
    <n v="8"/>
    <n v="1"/>
    <n v="63.39"/>
  </r>
  <r>
    <s v="2024-09-18"/>
    <x v="2"/>
    <n v="3"/>
    <x v="1"/>
    <x v="1"/>
    <x v="0"/>
    <s v="Backpack"/>
    <s v="Credit Card"/>
    <n v="9"/>
    <n v="97"/>
    <n v="138.37"/>
    <n v="873"/>
    <n v="1245.33"/>
    <n v="372.33"/>
    <n v="3"/>
    <n v="3"/>
    <n v="41.37"/>
  </r>
  <r>
    <s v="2024-10-11"/>
    <x v="2"/>
    <n v="3"/>
    <x v="1"/>
    <x v="2"/>
    <x v="2"/>
    <s v="T-shirt"/>
    <s v="Cash"/>
    <n v="3"/>
    <n v="56.64"/>
    <n v="90.01"/>
    <n v="169.92"/>
    <n v="270.02999999999997"/>
    <n v="100.11"/>
    <n v="2"/>
    <n v="2"/>
    <n v="33.369999999999997"/>
  </r>
  <r>
    <s v="2024-11-04"/>
    <x v="2"/>
    <n v="3"/>
    <x v="1"/>
    <x v="0"/>
    <x v="1"/>
    <s v="Sneakers"/>
    <s v="Credit Card"/>
    <n v="7"/>
    <n v="48"/>
    <n v="66.02"/>
    <n v="336"/>
    <n v="462.14"/>
    <n v="126.14"/>
    <n v="5"/>
    <n v="1"/>
    <n v="18.02"/>
  </r>
  <r>
    <s v="2024-11-11"/>
    <x v="2"/>
    <n v="3"/>
    <x v="0"/>
    <x v="2"/>
    <x v="1"/>
    <s v="Sneakers"/>
    <s v="Credit Card"/>
    <n v="9"/>
    <n v="100.99"/>
    <n v="181.23"/>
    <n v="908.91"/>
    <n v="1631.07"/>
    <n v="722.16"/>
    <n v="3"/>
    <n v="4"/>
    <n v="80.239999999999995"/>
  </r>
  <r>
    <s v="2024-12-18"/>
    <x v="2"/>
    <n v="3"/>
    <x v="1"/>
    <x v="1"/>
    <x v="2"/>
    <s v="T-shirt"/>
    <s v="Cash"/>
    <n v="1"/>
    <n v="44.76"/>
    <n v="66.12"/>
    <n v="44.76"/>
    <n v="66.12"/>
    <n v="21.36"/>
    <n v="5"/>
    <n v="4"/>
    <n v="21.36"/>
  </r>
  <r>
    <s v="2024-12-18"/>
    <x v="2"/>
    <n v="3"/>
    <x v="0"/>
    <x v="2"/>
    <x v="0"/>
    <s v="Cap"/>
    <s v="Credit Card"/>
    <n v="4"/>
    <n v="66.81"/>
    <n v="90.61"/>
    <n v="267.24"/>
    <n v="362.44"/>
    <n v="95.2"/>
    <n v="4"/>
    <n v="2"/>
    <n v="23.8"/>
  </r>
  <r>
    <s v="2024-12-18"/>
    <x v="2"/>
    <n v="3"/>
    <x v="0"/>
    <x v="1"/>
    <x v="2"/>
    <s v="Hoodie"/>
    <s v="Credit Card"/>
    <n v="5"/>
    <n v="24.54"/>
    <n v="32.31"/>
    <n v="122.7"/>
    <n v="161.55000000000001"/>
    <n v="38.85"/>
    <n v="3"/>
    <n v="4"/>
    <n v="7.7700000000000005"/>
  </r>
  <r>
    <s v="2024-01-12"/>
    <x v="3"/>
    <n v="4"/>
    <x v="1"/>
    <x v="3"/>
    <x v="0"/>
    <s v="Cap"/>
    <s v="Credit Card"/>
    <n v="1"/>
    <n v="40.299999999999997"/>
    <n v="65.16"/>
    <n v="40.299999999999997"/>
    <n v="65.16"/>
    <n v="24.86"/>
    <n v="1"/>
    <n v="1"/>
    <n v="24.86"/>
  </r>
  <r>
    <s v="2024-01-19"/>
    <x v="3"/>
    <n v="4"/>
    <x v="0"/>
    <x v="1"/>
    <x v="0"/>
    <s v="Socks"/>
    <s v="Credit Card"/>
    <n v="9"/>
    <n v="25.4"/>
    <n v="44.7"/>
    <n v="228.6"/>
    <n v="402.3"/>
    <n v="173.7"/>
    <n v="3"/>
    <n v="3"/>
    <n v="19.299999999999997"/>
  </r>
  <r>
    <s v="2024-03-05"/>
    <x v="3"/>
    <n v="4"/>
    <x v="1"/>
    <x v="1"/>
    <x v="1"/>
    <s v="Training Shoes"/>
    <s v="Cash"/>
    <n v="4"/>
    <n v="106.74"/>
    <n v="159.34"/>
    <n v="426.96"/>
    <n v="637.36"/>
    <n v="210.4"/>
    <n v="2"/>
    <n v="4"/>
    <n v="52.6"/>
  </r>
  <r>
    <s v="2024-04-05"/>
    <x v="3"/>
    <n v="4"/>
    <x v="1"/>
    <x v="2"/>
    <x v="2"/>
    <s v="T-shirt"/>
    <s v="Credit Card"/>
    <n v="2"/>
    <n v="85.21"/>
    <n v="126.6"/>
    <n v="170.42"/>
    <n v="253.2"/>
    <n v="82.78"/>
    <n v="3"/>
    <n v="5"/>
    <n v="41.39"/>
  </r>
  <r>
    <s v="2024-04-19"/>
    <x v="3"/>
    <n v="4"/>
    <x v="1"/>
    <x v="0"/>
    <x v="0"/>
    <s v="Socks"/>
    <s v="Credit Card"/>
    <n v="1"/>
    <n v="42.87"/>
    <n v="67.38"/>
    <n v="42.87"/>
    <n v="67.38"/>
    <n v="24.51"/>
    <n v="5"/>
    <n v="1"/>
    <n v="24.51"/>
  </r>
  <r>
    <s v="2024-05-12"/>
    <x v="3"/>
    <n v="4"/>
    <x v="1"/>
    <x v="0"/>
    <x v="1"/>
    <s v="Sneakers"/>
    <s v="Credit Card"/>
    <n v="2"/>
    <n v="113.35"/>
    <n v="203.53"/>
    <n v="226.7"/>
    <n v="407.06"/>
    <n v="180.36"/>
    <n v="2"/>
    <n v="5"/>
    <n v="90.18"/>
  </r>
  <r>
    <s v="2024-05-12"/>
    <x v="3"/>
    <n v="4"/>
    <x v="0"/>
    <x v="0"/>
    <x v="1"/>
    <s v="Sneakers"/>
    <s v="Credit Card"/>
    <n v="6"/>
    <n v="68.91"/>
    <n v="107.62"/>
    <n v="413.46"/>
    <n v="645.72"/>
    <n v="232.26"/>
    <n v="1"/>
    <n v="3"/>
    <n v="38.71"/>
  </r>
  <r>
    <s v="2024-05-12"/>
    <x v="3"/>
    <n v="4"/>
    <x v="0"/>
    <x v="2"/>
    <x v="0"/>
    <s v="Cap"/>
    <s v="Cash"/>
    <n v="5"/>
    <n v="112.32"/>
    <n v="156.49"/>
    <n v="561.6"/>
    <n v="782.45"/>
    <n v="220.85"/>
    <n v="3"/>
    <n v="4"/>
    <n v="44.17"/>
  </r>
  <r>
    <s v="2024-06-19"/>
    <x v="3"/>
    <n v="4"/>
    <x v="0"/>
    <x v="2"/>
    <x v="0"/>
    <s v="Socks"/>
    <s v="Bank Transfer"/>
    <n v="7"/>
    <n v="82.57"/>
    <n v="135.13"/>
    <n v="577.99"/>
    <n v="945.91"/>
    <n v="367.92"/>
    <n v="6"/>
    <n v="3"/>
    <n v="52.56"/>
  </r>
  <r>
    <s v="2024-07-05"/>
    <x v="3"/>
    <n v="4"/>
    <x v="0"/>
    <x v="1"/>
    <x v="2"/>
    <s v="Hoodie"/>
    <s v="Bank Transfer"/>
    <n v="1"/>
    <n v="53.22"/>
    <n v="82.06"/>
    <n v="53.22"/>
    <n v="82.06"/>
    <n v="28.84"/>
    <n v="10"/>
    <n v="5"/>
    <n v="28.84"/>
  </r>
  <r>
    <s v="2024-07-19"/>
    <x v="3"/>
    <n v="4"/>
    <x v="0"/>
    <x v="3"/>
    <x v="2"/>
    <s v="T-shirt"/>
    <s v="Bank Transfer"/>
    <n v="1"/>
    <n v="114.21"/>
    <n v="170.8"/>
    <n v="114.21"/>
    <n v="170.8"/>
    <n v="56.59"/>
    <n v="7"/>
    <n v="5"/>
    <n v="56.59"/>
  </r>
  <r>
    <s v="2024-08-05"/>
    <x v="3"/>
    <n v="4"/>
    <x v="1"/>
    <x v="1"/>
    <x v="2"/>
    <s v="Jacket"/>
    <s v="Bank Transfer"/>
    <n v="7"/>
    <n v="60"/>
    <n v="101.76"/>
    <n v="420"/>
    <n v="712.32"/>
    <n v="292.32"/>
    <n v="7"/>
    <n v="2"/>
    <n v="41.76"/>
  </r>
  <r>
    <s v="2024-08-05"/>
    <x v="3"/>
    <n v="4"/>
    <x v="0"/>
    <x v="2"/>
    <x v="0"/>
    <s v="Socks"/>
    <s v="Cash"/>
    <n v="2"/>
    <n v="106.83"/>
    <n v="161.68"/>
    <n v="213.66"/>
    <n v="323.36"/>
    <n v="109.7"/>
    <n v="3"/>
    <n v="3"/>
    <n v="54.85"/>
  </r>
  <r>
    <s v="2024-08-19"/>
    <x v="3"/>
    <n v="4"/>
    <x v="1"/>
    <x v="2"/>
    <x v="2"/>
    <s v="Jacket"/>
    <s v="Bank Transfer"/>
    <n v="4"/>
    <n v="33.299999999999997"/>
    <n v="53.11"/>
    <n v="133.19999999999999"/>
    <n v="212.44"/>
    <n v="79.239999999999995"/>
    <n v="7"/>
    <n v="1"/>
    <n v="19.809999999999999"/>
  </r>
  <r>
    <s v="2024-08-19"/>
    <x v="3"/>
    <n v="4"/>
    <x v="1"/>
    <x v="2"/>
    <x v="0"/>
    <s v="Backpack"/>
    <s v="Credit Card"/>
    <n v="6"/>
    <n v="39.4"/>
    <n v="66.75"/>
    <n v="236.4"/>
    <n v="400.5"/>
    <n v="164.1"/>
    <n v="2"/>
    <n v="2"/>
    <n v="27.349999999999998"/>
  </r>
  <r>
    <s v="2024-08-19"/>
    <x v="3"/>
    <n v="4"/>
    <x v="0"/>
    <x v="3"/>
    <x v="1"/>
    <s v="Sneakers"/>
    <s v="Bank Transfer"/>
    <n v="7"/>
    <n v="20.52"/>
    <n v="31.3"/>
    <n v="143.63999999999999"/>
    <n v="219.1"/>
    <n v="75.459999999999994"/>
    <n v="9"/>
    <n v="2"/>
    <n v="10.78"/>
  </r>
  <r>
    <s v="2024-09-05"/>
    <x v="3"/>
    <n v="4"/>
    <x v="0"/>
    <x v="2"/>
    <x v="1"/>
    <s v="Sneakers"/>
    <s v="Cash"/>
    <n v="2"/>
    <n v="99.68"/>
    <n v="153.47"/>
    <n v="199.36"/>
    <n v="306.94"/>
    <n v="107.58"/>
    <n v="3"/>
    <n v="5"/>
    <n v="53.79"/>
  </r>
  <r>
    <s v="2024-09-26"/>
    <x v="3"/>
    <n v="4"/>
    <x v="1"/>
    <x v="2"/>
    <x v="2"/>
    <s v="T-shirt"/>
    <s v="Cash"/>
    <n v="4"/>
    <n v="90.95"/>
    <n v="124.05"/>
    <n v="363.8"/>
    <n v="496.2"/>
    <n v="132.4"/>
    <n v="3"/>
    <n v="5"/>
    <n v="33.1"/>
  </r>
  <r>
    <s v="2024-10-05"/>
    <x v="3"/>
    <n v="4"/>
    <x v="0"/>
    <x v="3"/>
    <x v="0"/>
    <s v="Socks"/>
    <s v="Credit Card"/>
    <n v="2"/>
    <n v="20.85"/>
    <n v="29.73"/>
    <n v="41.7"/>
    <n v="59.46"/>
    <n v="17.760000000000002"/>
    <n v="4"/>
    <n v="2"/>
    <n v="8.8800000000000008"/>
  </r>
  <r>
    <s v="2024-10-12"/>
    <x v="3"/>
    <n v="4"/>
    <x v="1"/>
    <x v="2"/>
    <x v="2"/>
    <s v="Hoodie"/>
    <s v="Credit Card"/>
    <n v="9"/>
    <n v="25.61"/>
    <n v="34.69"/>
    <n v="230.49"/>
    <n v="312.20999999999998"/>
    <n v="81.72"/>
    <n v="1"/>
    <n v="4"/>
    <n v="9.08"/>
  </r>
  <r>
    <s v="2024-12-12"/>
    <x v="3"/>
    <n v="4"/>
    <x v="0"/>
    <x v="2"/>
    <x v="0"/>
    <s v="Cap"/>
    <s v="Cash"/>
    <n v="3"/>
    <n v="29.48"/>
    <n v="44.56"/>
    <n v="88.44"/>
    <n v="133.68"/>
    <n v="45.24"/>
    <n v="5"/>
    <n v="4"/>
    <n v="15.08"/>
  </r>
  <r>
    <s v="2024-12-26"/>
    <x v="3"/>
    <n v="4"/>
    <x v="1"/>
    <x v="3"/>
    <x v="2"/>
    <s v="Hoodie"/>
    <s v="Credit Card"/>
    <n v="5"/>
    <n v="105.64"/>
    <n v="154.18"/>
    <n v="528.20000000000005"/>
    <n v="770.9"/>
    <n v="242.7"/>
    <n v="3"/>
    <n v="1"/>
    <n v="48.54"/>
  </r>
  <r>
    <s v="2024-12-26"/>
    <x v="3"/>
    <n v="4"/>
    <x v="0"/>
    <x v="0"/>
    <x v="1"/>
    <s v="Running Shoes"/>
    <s v="Cash"/>
    <n v="1"/>
    <n v="41.68"/>
    <n v="59.2"/>
    <n v="41.68"/>
    <n v="59.2"/>
    <n v="17.52"/>
    <n v="3"/>
    <n v="2"/>
    <n v="17.52"/>
  </r>
  <r>
    <s v="2024-01-20"/>
    <x v="4"/>
    <n v="5"/>
    <x v="0"/>
    <x v="2"/>
    <x v="1"/>
    <s v="Training Shoes"/>
    <s v="Bank Transfer"/>
    <n v="10"/>
    <n v="60.59"/>
    <n v="104.3"/>
    <n v="605.9"/>
    <n v="1043"/>
    <n v="437.1"/>
    <n v="7"/>
    <n v="3"/>
    <n v="43.71"/>
  </r>
  <r>
    <s v="2024-01-27"/>
    <x v="4"/>
    <n v="5"/>
    <x v="0"/>
    <x v="3"/>
    <x v="1"/>
    <s v="Sneakers"/>
    <s v="Cash"/>
    <n v="8"/>
    <n v="104.05"/>
    <n v="135.44"/>
    <n v="832.4"/>
    <n v="1083.52"/>
    <n v="251.12"/>
    <n v="2"/>
    <n v="4"/>
    <n v="31.39"/>
  </r>
  <r>
    <s v="2024-02-06"/>
    <x v="4"/>
    <n v="5"/>
    <x v="1"/>
    <x v="1"/>
    <x v="1"/>
    <s v="Running Shoes"/>
    <s v="Credit Card"/>
    <n v="8"/>
    <n v="117.02"/>
    <n v="190.22"/>
    <n v="936.16"/>
    <n v="1521.76"/>
    <n v="585.6"/>
    <n v="2"/>
    <n v="5"/>
    <n v="73.2"/>
  </r>
  <r>
    <s v="2024-02-06"/>
    <x v="4"/>
    <n v="5"/>
    <x v="0"/>
    <x v="1"/>
    <x v="1"/>
    <s v="Running Shoes"/>
    <s v="Credit Card"/>
    <n v="1"/>
    <n v="37.53"/>
    <n v="65.77"/>
    <n v="37.53"/>
    <n v="65.77"/>
    <n v="28.24"/>
    <n v="4"/>
    <n v="5"/>
    <n v="28.24"/>
  </r>
  <r>
    <s v="2024-02-13"/>
    <x v="4"/>
    <n v="5"/>
    <x v="1"/>
    <x v="2"/>
    <x v="0"/>
    <s v="Socks"/>
    <s v="Credit Card"/>
    <n v="9"/>
    <n v="103.97"/>
    <n v="135.93"/>
    <n v="935.73"/>
    <n v="1223.3699999999999"/>
    <n v="287.64"/>
    <n v="1"/>
    <n v="1"/>
    <n v="31.959999999999997"/>
  </r>
  <r>
    <s v="2024-02-20"/>
    <x v="4"/>
    <n v="5"/>
    <x v="1"/>
    <x v="0"/>
    <x v="1"/>
    <s v="Running Shoes"/>
    <s v="Bank Transfer"/>
    <n v="9"/>
    <n v="84.54"/>
    <n v="144.63"/>
    <n v="760.86"/>
    <n v="1301.67"/>
    <n v="540.80999999999995"/>
    <n v="5"/>
    <n v="3"/>
    <n v="60.089999999999996"/>
  </r>
  <r>
    <s v="2024-03-20"/>
    <x v="4"/>
    <n v="5"/>
    <x v="0"/>
    <x v="1"/>
    <x v="1"/>
    <s v="Sneakers"/>
    <s v="Credit Card"/>
    <n v="7"/>
    <n v="66.239999999999995"/>
    <n v="102.02"/>
    <n v="463.68"/>
    <n v="714.14"/>
    <n v="250.46"/>
    <n v="5"/>
    <n v="3"/>
    <n v="35.78"/>
  </r>
  <r>
    <s v="2024-07-27"/>
    <x v="4"/>
    <n v="5"/>
    <x v="0"/>
    <x v="2"/>
    <x v="1"/>
    <s v="Training Shoes"/>
    <s v="Credit Card"/>
    <n v="2"/>
    <n v="109.09"/>
    <n v="181.75"/>
    <n v="218.18"/>
    <n v="363.5"/>
    <n v="145.32"/>
    <n v="4"/>
    <n v="3"/>
    <n v="72.66"/>
  </r>
  <r>
    <s v="2024-08-06"/>
    <x v="4"/>
    <n v="5"/>
    <x v="1"/>
    <x v="0"/>
    <x v="1"/>
    <s v="Training Shoes"/>
    <s v="Bank Transfer"/>
    <n v="4"/>
    <n v="78.91"/>
    <n v="120.91"/>
    <n v="315.64"/>
    <n v="483.64"/>
    <n v="168"/>
    <n v="6"/>
    <n v="3"/>
    <n v="42"/>
  </r>
  <r>
    <s v="2024-09-20"/>
    <x v="4"/>
    <n v="5"/>
    <x v="0"/>
    <x v="1"/>
    <x v="0"/>
    <s v="Backpack"/>
    <s v="Credit Card"/>
    <n v="6"/>
    <n v="72.989999999999995"/>
    <n v="120.53"/>
    <n v="437.94"/>
    <n v="723.18"/>
    <n v="285.24"/>
    <n v="4"/>
    <n v="1"/>
    <n v="47.54"/>
  </r>
  <r>
    <s v="2024-10-13"/>
    <x v="4"/>
    <n v="5"/>
    <x v="0"/>
    <x v="0"/>
    <x v="1"/>
    <s v="Running Shoes"/>
    <s v="Credit Card"/>
    <n v="2"/>
    <n v="49.89"/>
    <n v="77.61"/>
    <n v="99.78"/>
    <n v="155.22"/>
    <n v="55.44"/>
    <n v="3"/>
    <n v="3"/>
    <n v="27.72"/>
  </r>
  <r>
    <s v="2024-10-20"/>
    <x v="4"/>
    <n v="5"/>
    <x v="1"/>
    <x v="3"/>
    <x v="0"/>
    <s v="Socks"/>
    <s v="Credit Card"/>
    <n v="1"/>
    <n v="47.4"/>
    <n v="67.16"/>
    <n v="47.4"/>
    <n v="67.16"/>
    <n v="19.760000000000002"/>
    <n v="2"/>
    <n v="5"/>
    <n v="19.760000000000002"/>
  </r>
  <r>
    <s v="2024-01-07"/>
    <x v="5"/>
    <n v="6"/>
    <x v="0"/>
    <x v="3"/>
    <x v="1"/>
    <s v="Sneakers"/>
    <s v="Credit Card"/>
    <n v="9"/>
    <n v="108.59"/>
    <n v="182.16"/>
    <n v="977.31"/>
    <n v="1639.44"/>
    <n v="662.13"/>
    <n v="1"/>
    <n v="1"/>
    <n v="73.569999999999993"/>
  </r>
  <r>
    <s v="2024-01-07"/>
    <x v="5"/>
    <n v="6"/>
    <x v="0"/>
    <x v="0"/>
    <x v="2"/>
    <s v="Jacket"/>
    <s v="Credit Card"/>
    <n v="3"/>
    <n v="116.03"/>
    <n v="180.62"/>
    <n v="348.09"/>
    <n v="541.86"/>
    <n v="193.77"/>
    <n v="1"/>
    <n v="3"/>
    <n v="64.59"/>
  </r>
  <r>
    <s v="2024-01-21"/>
    <x v="5"/>
    <n v="6"/>
    <x v="1"/>
    <x v="1"/>
    <x v="2"/>
    <s v="T-shirt"/>
    <s v="Bank Transfer"/>
    <n v="9"/>
    <n v="35.82"/>
    <n v="57.66"/>
    <n v="322.38"/>
    <n v="518.94000000000005"/>
    <n v="196.56"/>
    <n v="10"/>
    <n v="1"/>
    <n v="21.84"/>
  </r>
  <r>
    <s v="2024-02-21"/>
    <x v="5"/>
    <n v="6"/>
    <x v="0"/>
    <x v="0"/>
    <x v="2"/>
    <s v="T-shirt"/>
    <s v="Credit Card"/>
    <n v="1"/>
    <n v="54.11"/>
    <n v="88.91"/>
    <n v="54.11"/>
    <n v="88.91"/>
    <n v="34.799999999999997"/>
    <n v="3"/>
    <n v="5"/>
    <n v="34.799999999999997"/>
  </r>
  <r>
    <s v="2024-02-21"/>
    <x v="5"/>
    <n v="6"/>
    <x v="0"/>
    <x v="2"/>
    <x v="0"/>
    <s v="Cap"/>
    <s v="Cash"/>
    <n v="2"/>
    <n v="72.52"/>
    <n v="99.47"/>
    <n v="145.04"/>
    <n v="198.94"/>
    <n v="53.9"/>
    <n v="3"/>
    <n v="3"/>
    <n v="26.95"/>
  </r>
  <r>
    <s v="2024-04-14"/>
    <x v="5"/>
    <n v="6"/>
    <x v="1"/>
    <x v="2"/>
    <x v="1"/>
    <s v="Training Shoes"/>
    <s v="Cash"/>
    <n v="1"/>
    <n v="95.52"/>
    <n v="132.41999999999999"/>
    <n v="95.52"/>
    <n v="132.41999999999999"/>
    <n v="36.9"/>
    <n v="3"/>
    <n v="2"/>
    <n v="36.9"/>
  </r>
  <r>
    <s v="2024-05-28"/>
    <x v="5"/>
    <n v="6"/>
    <x v="1"/>
    <x v="1"/>
    <x v="1"/>
    <s v="Sneakers"/>
    <s v="Credit Card"/>
    <n v="10"/>
    <n v="44.49"/>
    <n v="79.08"/>
    <n v="444.9"/>
    <n v="790.8"/>
    <n v="345.9"/>
    <n v="3"/>
    <n v="3"/>
    <n v="34.589999999999996"/>
  </r>
  <r>
    <s v="2024-06-07"/>
    <x v="5"/>
    <n v="6"/>
    <x v="1"/>
    <x v="1"/>
    <x v="1"/>
    <s v="Running Shoes"/>
    <s v="Credit Card"/>
    <n v="9"/>
    <n v="41.01"/>
    <n v="62.19"/>
    <n v="369.09"/>
    <n v="559.71"/>
    <n v="190.62"/>
    <n v="2"/>
    <n v="2"/>
    <n v="21.18"/>
  </r>
  <r>
    <s v="2024-06-14"/>
    <x v="5"/>
    <n v="6"/>
    <x v="1"/>
    <x v="2"/>
    <x v="1"/>
    <s v="Running Shoes"/>
    <s v="Cash"/>
    <n v="2"/>
    <n v="108.68"/>
    <n v="166"/>
    <n v="217.36"/>
    <n v="332"/>
    <n v="114.64"/>
    <n v="4"/>
    <n v="3"/>
    <n v="57.32"/>
  </r>
  <r>
    <s v="2024-06-21"/>
    <x v="5"/>
    <n v="6"/>
    <x v="1"/>
    <x v="0"/>
    <x v="2"/>
    <s v="T-shirt"/>
    <s v="Credit Card"/>
    <n v="4"/>
    <n v="33.630000000000003"/>
    <n v="48.22"/>
    <n v="134.52000000000001"/>
    <n v="192.88"/>
    <n v="58.36"/>
    <n v="4"/>
    <n v="2"/>
    <n v="14.59"/>
  </r>
  <r>
    <s v="2024-08-07"/>
    <x v="5"/>
    <n v="6"/>
    <x v="1"/>
    <x v="3"/>
    <x v="1"/>
    <s v="Running Shoes"/>
    <s v="Cash"/>
    <n v="8"/>
    <n v="44.25"/>
    <n v="61.99"/>
    <n v="354"/>
    <n v="495.92"/>
    <n v="141.91999999999999"/>
    <n v="1"/>
    <n v="3"/>
    <n v="17.739999999999998"/>
  </r>
  <r>
    <s v="2024-01-29"/>
    <x v="6"/>
    <n v="7"/>
    <x v="0"/>
    <x v="3"/>
    <x v="1"/>
    <s v="Training Shoes"/>
    <s v="Cash"/>
    <n v="9"/>
    <n v="25.16"/>
    <n v="38.57"/>
    <n v="226.44"/>
    <n v="347.13"/>
    <n v="120.69"/>
    <n v="2"/>
    <n v="5"/>
    <n v="13.41"/>
  </r>
  <r>
    <s v="2024-02-08"/>
    <x v="6"/>
    <n v="7"/>
    <x v="1"/>
    <x v="2"/>
    <x v="2"/>
    <s v="T-shirt"/>
    <s v="Bank Transfer"/>
    <n v="5"/>
    <n v="55.83"/>
    <n v="82.25"/>
    <n v="279.14999999999998"/>
    <n v="411.25"/>
    <n v="132.1"/>
    <n v="7"/>
    <n v="1"/>
    <n v="26.419999999999998"/>
  </r>
  <r>
    <s v="2024-02-15"/>
    <x v="6"/>
    <n v="7"/>
    <x v="0"/>
    <x v="2"/>
    <x v="1"/>
    <s v="Sneakers"/>
    <s v="Cash"/>
    <n v="1"/>
    <n v="83.64"/>
    <n v="144.37"/>
    <n v="83.64"/>
    <n v="144.37"/>
    <n v="60.73"/>
    <n v="1"/>
    <n v="5"/>
    <n v="60.73"/>
  </r>
  <r>
    <s v="2024-04-15"/>
    <x v="6"/>
    <n v="7"/>
    <x v="0"/>
    <x v="0"/>
    <x v="0"/>
    <s v="Cap"/>
    <s v="Credit Card"/>
    <n v="8"/>
    <n v="61.08"/>
    <n v="79.930000000000007"/>
    <n v="488.64"/>
    <n v="639.44000000000005"/>
    <n v="150.80000000000001"/>
    <n v="3"/>
    <n v="1"/>
    <n v="18.850000000000001"/>
  </r>
  <r>
    <s v="2024-04-15"/>
    <x v="6"/>
    <n v="7"/>
    <x v="0"/>
    <x v="3"/>
    <x v="0"/>
    <s v="Socks"/>
    <s v="Bank Transfer"/>
    <n v="4"/>
    <n v="114.86"/>
    <n v="172.84"/>
    <n v="459.44"/>
    <n v="691.36"/>
    <n v="231.92"/>
    <n v="7"/>
    <n v="1"/>
    <n v="57.98"/>
  </r>
  <r>
    <s v="2024-05-29"/>
    <x v="6"/>
    <n v="7"/>
    <x v="1"/>
    <x v="3"/>
    <x v="0"/>
    <s v="Backpack"/>
    <s v="Cash"/>
    <n v="8"/>
    <n v="114.3"/>
    <n v="169.55"/>
    <n v="914.4"/>
    <n v="1356.4"/>
    <n v="442"/>
    <n v="3"/>
    <n v="4"/>
    <n v="55.25"/>
  </r>
  <r>
    <s v="2024-06-15"/>
    <x v="6"/>
    <n v="7"/>
    <x v="0"/>
    <x v="1"/>
    <x v="1"/>
    <s v="Sneakers"/>
    <s v="Credit Card"/>
    <n v="2"/>
    <n v="76.89"/>
    <n v="106.58"/>
    <n v="153.78"/>
    <n v="213.16"/>
    <n v="59.38"/>
    <n v="3"/>
    <n v="2"/>
    <n v="29.69"/>
  </r>
  <r>
    <s v="2024-06-22"/>
    <x v="6"/>
    <n v="7"/>
    <x v="0"/>
    <x v="1"/>
    <x v="2"/>
    <s v="T-shirt"/>
    <s v="Credit Card"/>
    <n v="3"/>
    <n v="97.4"/>
    <n v="152.87"/>
    <n v="292.2"/>
    <n v="458.61"/>
    <n v="166.41"/>
    <n v="1"/>
    <n v="4"/>
    <n v="55.47"/>
  </r>
  <r>
    <s v="2024-07-15"/>
    <x v="6"/>
    <n v="7"/>
    <x v="0"/>
    <x v="2"/>
    <x v="0"/>
    <s v="Cap"/>
    <s v="Cash"/>
    <n v="1"/>
    <n v="91.55"/>
    <n v="154.83000000000001"/>
    <n v="91.55"/>
    <n v="154.83000000000001"/>
    <n v="63.28"/>
    <n v="4"/>
    <n v="5"/>
    <n v="63.28"/>
  </r>
  <r>
    <s v="2024-07-22"/>
    <x v="6"/>
    <n v="7"/>
    <x v="1"/>
    <x v="0"/>
    <x v="1"/>
    <s v="Running Shoes"/>
    <s v="Bank Transfer"/>
    <n v="2"/>
    <n v="79.2"/>
    <n v="113.89"/>
    <n v="158.4"/>
    <n v="227.78"/>
    <n v="69.38"/>
    <n v="10"/>
    <n v="5"/>
    <n v="34.69"/>
  </r>
  <r>
    <s v="2024-07-22"/>
    <x v="6"/>
    <n v="7"/>
    <x v="1"/>
    <x v="1"/>
    <x v="0"/>
    <s v="Backpack"/>
    <s v="Bank Transfer"/>
    <n v="5"/>
    <n v="32"/>
    <n v="53.06"/>
    <n v="160"/>
    <n v="265.3"/>
    <n v="105.3"/>
    <n v="10"/>
    <n v="3"/>
    <n v="21.06"/>
  </r>
  <r>
    <s v="2024-08-01"/>
    <x v="6"/>
    <n v="7"/>
    <x v="1"/>
    <x v="1"/>
    <x v="1"/>
    <s v="Running Shoes"/>
    <s v="Credit Card"/>
    <n v="1"/>
    <n v="87.43"/>
    <n v="127.57"/>
    <n v="87.43"/>
    <n v="127.57"/>
    <n v="40.14"/>
    <n v="5"/>
    <n v="5"/>
    <n v="40.14"/>
  </r>
  <r>
    <s v="2024-09-29"/>
    <x v="6"/>
    <n v="7"/>
    <x v="1"/>
    <x v="1"/>
    <x v="2"/>
    <s v="T-shirt"/>
    <s v="Credit Card"/>
    <n v="5"/>
    <n v="57.18"/>
    <n v="76.599999999999994"/>
    <n v="285.89999999999998"/>
    <n v="383"/>
    <n v="97.1"/>
    <n v="2"/>
    <n v="4"/>
    <n v="19.419999999999998"/>
  </r>
  <r>
    <s v="2024-12-08"/>
    <x v="6"/>
    <n v="7"/>
    <x v="1"/>
    <x v="0"/>
    <x v="2"/>
    <s v="Hoodie"/>
    <s v="Bank Transfer"/>
    <n v="2"/>
    <n v="73.59"/>
    <n v="105.15"/>
    <n v="147.18"/>
    <n v="210.3"/>
    <n v="63.12"/>
    <n v="7"/>
    <n v="3"/>
    <n v="31.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024-01-02"/>
    <x v="0"/>
    <n v="1"/>
    <s v="Nike"/>
    <s v="Asia"/>
    <s v="Accessories"/>
    <s v="Cap"/>
    <s v="Bank Transfer"/>
    <n v="5"/>
    <n v="29.3"/>
    <n v="48"/>
    <n v="146.5"/>
    <n v="240"/>
    <n v="93.5"/>
    <n v="10"/>
    <n v="5"/>
    <n v="18.7"/>
  </r>
  <r>
    <s v="2024-02-02"/>
    <x v="0"/>
    <n v="1"/>
    <s v="Adidas"/>
    <s v="Asia"/>
    <s v="Accessories"/>
    <s v="Cap"/>
    <s v="Bank Transfer"/>
    <n v="1"/>
    <n v="30.08"/>
    <n v="53.81"/>
    <n v="30.08"/>
    <n v="53.81"/>
    <n v="23.73"/>
    <n v="10"/>
    <n v="5"/>
    <n v="23.73"/>
  </r>
  <r>
    <s v="2024-03-02"/>
    <x v="0"/>
    <n v="1"/>
    <s v="Nike"/>
    <s v="Europe"/>
    <s v="Shoes"/>
    <s v="Sneakers"/>
    <s v="Credit Card"/>
    <n v="5"/>
    <n v="56.86"/>
    <n v="92.72"/>
    <n v="284.3"/>
    <n v="463.6"/>
    <n v="179.3"/>
    <n v="1"/>
    <n v="4"/>
    <n v="35.86"/>
  </r>
  <r>
    <s v="2024-03-09"/>
    <x v="0"/>
    <n v="1"/>
    <s v="Nike"/>
    <s v="Europe"/>
    <s v="Apparel"/>
    <s v="T-shirt"/>
    <s v="Credit Card"/>
    <n v="4"/>
    <n v="97.03"/>
    <n v="161.38999999999999"/>
    <n v="388.12"/>
    <n v="645.55999999999995"/>
    <n v="257.44"/>
    <n v="3"/>
    <n v="3"/>
    <n v="64.36"/>
  </r>
  <r>
    <s v="2024-04-16"/>
    <x v="0"/>
    <n v="1"/>
    <s v="Nike"/>
    <s v="Asia"/>
    <s v="Apparel"/>
    <s v="Hoodie"/>
    <s v="Cash"/>
    <n v="5"/>
    <n v="90.12"/>
    <n v="134.31"/>
    <n v="450.6"/>
    <n v="671.55"/>
    <n v="220.95"/>
    <n v="2"/>
    <n v="3"/>
    <n v="44.19"/>
  </r>
  <r>
    <s v="2024-05-02"/>
    <x v="0"/>
    <n v="1"/>
    <s v="Adidas"/>
    <s v="South America"/>
    <s v="Apparel"/>
    <s v="Jacket"/>
    <s v="Cash"/>
    <n v="2"/>
    <n v="109.74"/>
    <n v="190.76"/>
    <n v="219.48"/>
    <n v="381.52"/>
    <n v="162.04"/>
    <n v="1"/>
    <n v="4"/>
    <n v="81.02"/>
  </r>
  <r>
    <s v="2024-05-02"/>
    <x v="0"/>
    <n v="1"/>
    <s v="Nike"/>
    <s v="North America"/>
    <s v="Shoes"/>
    <s v="Training Shoes"/>
    <s v="Credit Card"/>
    <n v="6"/>
    <n v="100.23"/>
    <n v="151.04"/>
    <n v="601.38"/>
    <n v="906.24"/>
    <n v="304.86"/>
    <n v="4"/>
    <n v="1"/>
    <n v="50.81"/>
  </r>
  <r>
    <s v="2024-06-02"/>
    <x v="0"/>
    <n v="1"/>
    <s v="Nike"/>
    <s v="Europe"/>
    <s v="Shoes"/>
    <s v="Training Shoes"/>
    <s v="Bank Transfer"/>
    <n v="8"/>
    <n v="78.75"/>
    <n v="132.72"/>
    <n v="630"/>
    <n v="1061.76"/>
    <n v="431.76"/>
    <n v="7"/>
    <n v="3"/>
    <n v="53.97"/>
  </r>
  <r>
    <s v="2024-06-16"/>
    <x v="0"/>
    <n v="1"/>
    <s v="Nike"/>
    <s v="South America"/>
    <s v="Shoes"/>
    <s v="Training Shoes"/>
    <s v="Credit Card"/>
    <n v="2"/>
    <n v="86.69"/>
    <n v="136.69"/>
    <n v="173.38"/>
    <n v="273.38"/>
    <n v="100"/>
    <n v="2"/>
    <n v="2"/>
    <n v="50"/>
  </r>
  <r>
    <s v="2024-07-16"/>
    <x v="0"/>
    <n v="1"/>
    <s v="Adidas"/>
    <s v="North America"/>
    <s v="Shoes"/>
    <s v="Training Shoes"/>
    <s v="Cash"/>
    <n v="8"/>
    <n v="65.86"/>
    <n v="109.38"/>
    <n v="526.88"/>
    <n v="875.04"/>
    <n v="348.16"/>
    <n v="3"/>
    <n v="2"/>
    <n v="43.52"/>
  </r>
  <r>
    <s v="2024-07-23"/>
    <x v="0"/>
    <n v="1"/>
    <s v="Nike"/>
    <s v="Asia"/>
    <s v="Accessories"/>
    <s v="Socks"/>
    <s v="Credit Card"/>
    <n v="6"/>
    <n v="60.64"/>
    <n v="83.46"/>
    <n v="363.84"/>
    <n v="500.76"/>
    <n v="136.91999999999999"/>
    <n v="2"/>
    <n v="1"/>
    <n v="22.819999999999997"/>
  </r>
  <r>
    <s v="2024-07-23"/>
    <x v="0"/>
    <n v="1"/>
    <s v="Nike"/>
    <s v="Europe"/>
    <s v="Apparel"/>
    <s v="T-shirt"/>
    <s v="Bank Transfer"/>
    <n v="5"/>
    <n v="71.47"/>
    <n v="120.99"/>
    <n v="357.35"/>
    <n v="604.95000000000005"/>
    <n v="247.6"/>
    <n v="9"/>
    <n v="3"/>
    <n v="49.519999999999996"/>
  </r>
  <r>
    <s v="2024-10-02"/>
    <x v="0"/>
    <n v="1"/>
    <s v="Nike"/>
    <s v="Europe"/>
    <s v="Accessories"/>
    <s v="Socks"/>
    <s v="Bank Transfer"/>
    <n v="5"/>
    <n v="55.17"/>
    <n v="91.32"/>
    <n v="275.85000000000002"/>
    <n v="456.6"/>
    <n v="180.75"/>
    <n v="8"/>
    <n v="4"/>
    <n v="36.15"/>
  </r>
  <r>
    <s v="2024-10-09"/>
    <x v="0"/>
    <n v="1"/>
    <s v="Nike"/>
    <s v="North America"/>
    <s v="Apparel"/>
    <s v="Hoodie"/>
    <s v="Cash"/>
    <n v="8"/>
    <n v="25.26"/>
    <n v="42.86"/>
    <n v="202.08"/>
    <n v="342.88"/>
    <n v="140.80000000000001"/>
    <n v="3"/>
    <n v="3"/>
    <n v="17.600000000000001"/>
  </r>
  <r>
    <s v="2024-10-30"/>
    <x v="0"/>
    <n v="1"/>
    <s v="Adidas"/>
    <s v="Europe"/>
    <s v="Apparel"/>
    <s v="T-shirt"/>
    <s v="Credit Card"/>
    <n v="7"/>
    <n v="95.92"/>
    <n v="166.26"/>
    <n v="671.44"/>
    <n v="1163.82"/>
    <n v="492.38"/>
    <n v="4"/>
    <n v="5"/>
    <n v="70.34"/>
  </r>
  <r>
    <s v="2024-12-02"/>
    <x v="0"/>
    <n v="1"/>
    <s v="Adidas"/>
    <s v="South America"/>
    <s v="Apparel"/>
    <s v="Jacket"/>
    <s v="Cash"/>
    <n v="9"/>
    <n v="64.83"/>
    <n v="103.26"/>
    <n v="583.47"/>
    <n v="929.34"/>
    <n v="345.87"/>
    <n v="3"/>
    <n v="4"/>
    <n v="38.43"/>
  </r>
  <r>
    <s v="2024-01-03"/>
    <x v="1"/>
    <n v="2"/>
    <s v="Nike"/>
    <s v="North America"/>
    <s v="Apparel"/>
    <s v="T-shirt"/>
    <s v="Credit Card"/>
    <n v="8"/>
    <n v="97.06"/>
    <n v="174.65"/>
    <n v="776.48"/>
    <n v="1397.2"/>
    <n v="620.72"/>
    <n v="5"/>
    <n v="1"/>
    <n v="77.59"/>
  </r>
  <r>
    <s v="2024-04-10"/>
    <x v="1"/>
    <n v="2"/>
    <s v="Adidas"/>
    <s v="Asia"/>
    <s v="Apparel"/>
    <s v="T-shirt"/>
    <s v="Cash"/>
    <n v="10"/>
    <n v="97.75"/>
    <n v="152.79"/>
    <n v="977.5"/>
    <n v="1527.9"/>
    <n v="550.4"/>
    <n v="5"/>
    <n v="5"/>
    <n v="55.04"/>
  </r>
  <r>
    <s v="2024-05-24"/>
    <x v="1"/>
    <n v="2"/>
    <s v="Adidas"/>
    <s v="North America"/>
    <s v="Shoes"/>
    <s v="Running Shoes"/>
    <s v="Cash"/>
    <n v="3"/>
    <n v="32.25"/>
    <n v="53.94"/>
    <n v="96.75"/>
    <n v="161.82"/>
    <n v="65.069999999999993"/>
    <n v="3"/>
    <n v="4"/>
    <n v="21.689999999999998"/>
  </r>
  <r>
    <s v="2024-06-24"/>
    <x v="1"/>
    <n v="2"/>
    <s v="Nike"/>
    <s v="Europe"/>
    <s v="Accessories"/>
    <s v="Cap"/>
    <s v="Cash"/>
    <n v="7"/>
    <n v="76.7"/>
    <n v="134.41999999999999"/>
    <n v="536.9"/>
    <n v="940.94"/>
    <n v="404.04"/>
    <n v="4"/>
    <n v="4"/>
    <n v="57.720000000000006"/>
  </r>
  <r>
    <s v="2024-07-31"/>
    <x v="1"/>
    <n v="2"/>
    <s v="Nike"/>
    <s v="Europe"/>
    <s v="Apparel"/>
    <s v="T-shirt"/>
    <s v="Cash"/>
    <n v="1"/>
    <n v="103.98"/>
    <n v="155.63999999999999"/>
    <n v="103.98"/>
    <n v="155.63999999999999"/>
    <n v="51.66"/>
    <n v="5"/>
    <n v="2"/>
    <n v="51.66"/>
  </r>
  <r>
    <s v="2024-08-10"/>
    <x v="1"/>
    <n v="2"/>
    <s v="Nike"/>
    <s v="South America"/>
    <s v="Shoes"/>
    <s v="Training Shoes"/>
    <s v="Bank Transfer"/>
    <n v="8"/>
    <n v="91.99"/>
    <n v="142.63999999999999"/>
    <n v="735.92"/>
    <n v="1141.1199999999999"/>
    <n v="405.2"/>
    <n v="6"/>
    <n v="2"/>
    <n v="50.65"/>
  </r>
  <r>
    <s v="2024-09-03"/>
    <x v="1"/>
    <n v="2"/>
    <s v="Adidas"/>
    <s v="Europe"/>
    <s v="Apparel"/>
    <s v="Jacket"/>
    <s v="Cash"/>
    <n v="8"/>
    <n v="64.19"/>
    <n v="103.64"/>
    <n v="513.52"/>
    <n v="829.12"/>
    <n v="315.60000000000002"/>
    <n v="2"/>
    <n v="5"/>
    <n v="39.450000000000003"/>
  </r>
  <r>
    <s v="2024-10-31"/>
    <x v="1"/>
    <n v="2"/>
    <s v="Adidas"/>
    <s v="North America"/>
    <s v="Shoes"/>
    <s v="Sneakers"/>
    <s v="Bank Transfer"/>
    <n v="6"/>
    <n v="67.34"/>
    <n v="115.92"/>
    <n v="404.04"/>
    <n v="695.52"/>
    <n v="291.48"/>
    <n v="6"/>
    <n v="3"/>
    <n v="48.580000000000005"/>
  </r>
  <r>
    <s v="2024-10-31"/>
    <x v="1"/>
    <n v="2"/>
    <s v="Adidas"/>
    <s v="Asia"/>
    <s v="Apparel"/>
    <s v="T-shirt"/>
    <s v="Cash"/>
    <n v="1"/>
    <n v="62.7"/>
    <n v="103.45"/>
    <n v="62.7"/>
    <n v="103.45"/>
    <n v="40.75"/>
    <n v="5"/>
    <n v="5"/>
    <n v="40.75"/>
  </r>
  <r>
    <s v="2024-10-31"/>
    <x v="1"/>
    <n v="2"/>
    <s v="Nike"/>
    <s v="Asia"/>
    <s v="Apparel"/>
    <s v="Jacket"/>
    <s v="Bank Transfer"/>
    <n v="3"/>
    <n v="39.03"/>
    <n v="64.77"/>
    <n v="117.09"/>
    <n v="194.31"/>
    <n v="77.22"/>
    <n v="9"/>
    <n v="3"/>
    <n v="25.74"/>
  </r>
  <r>
    <s v="2024-01-25"/>
    <x v="2"/>
    <n v="3"/>
    <s v="Nike"/>
    <s v="South America"/>
    <s v="Accessories"/>
    <s v="Cap"/>
    <s v="Cash"/>
    <n v="3"/>
    <n v="74.790000000000006"/>
    <n v="120.38"/>
    <n v="224.37"/>
    <n v="361.14"/>
    <n v="136.77000000000001"/>
    <n v="2"/>
    <n v="1"/>
    <n v="45.59"/>
  </r>
  <r>
    <s v="2024-02-11"/>
    <x v="2"/>
    <n v="3"/>
    <s v="Adidas"/>
    <s v="North America"/>
    <s v="Shoes"/>
    <s v="Running Shoes"/>
    <s v="Credit Card"/>
    <n v="9"/>
    <n v="37.1"/>
    <n v="50"/>
    <n v="333.9"/>
    <n v="450"/>
    <n v="116.1"/>
    <n v="4"/>
    <n v="2"/>
    <n v="12.899999999999999"/>
  </r>
  <r>
    <s v="2024-03-11"/>
    <x v="2"/>
    <n v="3"/>
    <s v="Adidas"/>
    <s v="Asia"/>
    <s v="Apparel"/>
    <s v="T-shirt"/>
    <s v="Cash"/>
    <n v="10"/>
    <n v="24.51"/>
    <n v="32.83"/>
    <n v="245.1"/>
    <n v="328.3"/>
    <n v="83.2"/>
    <n v="5"/>
    <n v="4"/>
    <n v="8.32"/>
  </r>
  <r>
    <s v="2024-04-11"/>
    <x v="2"/>
    <n v="3"/>
    <s v="Nike"/>
    <s v="Europe"/>
    <s v="Apparel"/>
    <s v="Jacket"/>
    <s v="Credit Card"/>
    <n v="5"/>
    <n v="57.12"/>
    <n v="85.73"/>
    <n v="285.60000000000002"/>
    <n v="428.65"/>
    <n v="143.05000000000001"/>
    <n v="3"/>
    <n v="4"/>
    <n v="28.610000000000003"/>
  </r>
  <r>
    <s v="2024-05-11"/>
    <x v="2"/>
    <n v="3"/>
    <s v="Nike"/>
    <s v="North America"/>
    <s v="Shoes"/>
    <s v="Sneakers"/>
    <s v="Cash"/>
    <n v="5"/>
    <n v="99.83"/>
    <n v="168.93"/>
    <n v="499.15"/>
    <n v="844.65"/>
    <n v="345.5"/>
    <n v="4"/>
    <n v="1"/>
    <n v="69.099999999999994"/>
  </r>
  <r>
    <s v="2024-07-18"/>
    <x v="2"/>
    <n v="3"/>
    <s v="Adidas"/>
    <s v="Europe"/>
    <s v="Apparel"/>
    <s v="Jacket"/>
    <s v="Cash"/>
    <n v="6"/>
    <n v="79.72"/>
    <n v="106.83"/>
    <n v="478.32"/>
    <n v="640.98"/>
    <n v="162.66"/>
    <n v="3"/>
    <n v="2"/>
    <n v="27.11"/>
  </r>
  <r>
    <s v="2024-09-11"/>
    <x v="2"/>
    <n v="3"/>
    <s v="Nike"/>
    <s v="Asia"/>
    <s v="Accessories"/>
    <s v="Backpack"/>
    <s v="Bank Transfer"/>
    <n v="9"/>
    <n v="115.68"/>
    <n v="179.07"/>
    <n v="1041.1199999999999"/>
    <n v="1611.63"/>
    <n v="570.51"/>
    <n v="8"/>
    <n v="1"/>
    <n v="63.39"/>
  </r>
  <r>
    <s v="2024-09-18"/>
    <x v="2"/>
    <n v="3"/>
    <s v="Adidas"/>
    <s v="Europe"/>
    <s v="Accessories"/>
    <s v="Backpack"/>
    <s v="Credit Card"/>
    <n v="9"/>
    <n v="97"/>
    <n v="138.37"/>
    <n v="873"/>
    <n v="1245.33"/>
    <n v="372.33"/>
    <n v="3"/>
    <n v="3"/>
    <n v="41.37"/>
  </r>
  <r>
    <s v="2024-10-11"/>
    <x v="2"/>
    <n v="3"/>
    <s v="Adidas"/>
    <s v="South America"/>
    <s v="Apparel"/>
    <s v="T-shirt"/>
    <s v="Cash"/>
    <n v="3"/>
    <n v="56.64"/>
    <n v="90.01"/>
    <n v="169.92"/>
    <n v="270.02999999999997"/>
    <n v="100.11"/>
    <n v="2"/>
    <n v="2"/>
    <n v="33.369999999999997"/>
  </r>
  <r>
    <s v="2024-11-04"/>
    <x v="2"/>
    <n v="3"/>
    <s v="Adidas"/>
    <s v="Asia"/>
    <s v="Shoes"/>
    <s v="Sneakers"/>
    <s v="Credit Card"/>
    <n v="7"/>
    <n v="48"/>
    <n v="66.02"/>
    <n v="336"/>
    <n v="462.14"/>
    <n v="126.14"/>
    <n v="5"/>
    <n v="1"/>
    <n v="18.02"/>
  </r>
  <r>
    <s v="2024-11-11"/>
    <x v="2"/>
    <n v="3"/>
    <s v="Nike"/>
    <s v="South America"/>
    <s v="Shoes"/>
    <s v="Sneakers"/>
    <s v="Credit Card"/>
    <n v="9"/>
    <n v="100.99"/>
    <n v="181.23"/>
    <n v="908.91"/>
    <n v="1631.07"/>
    <n v="722.16"/>
    <n v="3"/>
    <n v="4"/>
    <n v="80.239999999999995"/>
  </r>
  <r>
    <s v="2024-12-18"/>
    <x v="2"/>
    <n v="3"/>
    <s v="Adidas"/>
    <s v="Europe"/>
    <s v="Apparel"/>
    <s v="T-shirt"/>
    <s v="Cash"/>
    <n v="1"/>
    <n v="44.76"/>
    <n v="66.12"/>
    <n v="44.76"/>
    <n v="66.12"/>
    <n v="21.36"/>
    <n v="5"/>
    <n v="4"/>
    <n v="21.36"/>
  </r>
  <r>
    <s v="2024-12-18"/>
    <x v="2"/>
    <n v="3"/>
    <s v="Nike"/>
    <s v="South America"/>
    <s v="Accessories"/>
    <s v="Cap"/>
    <s v="Credit Card"/>
    <n v="4"/>
    <n v="66.81"/>
    <n v="90.61"/>
    <n v="267.24"/>
    <n v="362.44"/>
    <n v="95.2"/>
    <n v="4"/>
    <n v="2"/>
    <n v="23.8"/>
  </r>
  <r>
    <s v="2024-12-18"/>
    <x v="2"/>
    <n v="3"/>
    <s v="Nike"/>
    <s v="Europe"/>
    <s v="Apparel"/>
    <s v="Hoodie"/>
    <s v="Credit Card"/>
    <n v="5"/>
    <n v="24.54"/>
    <n v="32.31"/>
    <n v="122.7"/>
    <n v="161.55000000000001"/>
    <n v="38.85"/>
    <n v="3"/>
    <n v="4"/>
    <n v="7.7700000000000005"/>
  </r>
  <r>
    <s v="2024-01-12"/>
    <x v="3"/>
    <n v="4"/>
    <s v="Adidas"/>
    <s v="North America"/>
    <s v="Accessories"/>
    <s v="Cap"/>
    <s v="Credit Card"/>
    <n v="1"/>
    <n v="40.299999999999997"/>
    <n v="65.16"/>
    <n v="40.299999999999997"/>
    <n v="65.16"/>
    <n v="24.86"/>
    <n v="1"/>
    <n v="1"/>
    <n v="24.86"/>
  </r>
  <r>
    <s v="2024-01-19"/>
    <x v="3"/>
    <n v="4"/>
    <s v="Nike"/>
    <s v="Europe"/>
    <s v="Accessories"/>
    <s v="Socks"/>
    <s v="Credit Card"/>
    <n v="9"/>
    <n v="25.4"/>
    <n v="44.7"/>
    <n v="228.6"/>
    <n v="402.3"/>
    <n v="173.7"/>
    <n v="3"/>
    <n v="3"/>
    <n v="19.299999999999997"/>
  </r>
  <r>
    <s v="2024-03-05"/>
    <x v="3"/>
    <n v="4"/>
    <s v="Adidas"/>
    <s v="Europe"/>
    <s v="Shoes"/>
    <s v="Training Shoes"/>
    <s v="Cash"/>
    <n v="4"/>
    <n v="106.74"/>
    <n v="159.34"/>
    <n v="426.96"/>
    <n v="637.36"/>
    <n v="210.4"/>
    <n v="2"/>
    <n v="4"/>
    <n v="52.6"/>
  </r>
  <r>
    <s v="2024-04-05"/>
    <x v="3"/>
    <n v="4"/>
    <s v="Adidas"/>
    <s v="South America"/>
    <s v="Apparel"/>
    <s v="T-shirt"/>
    <s v="Credit Card"/>
    <n v="2"/>
    <n v="85.21"/>
    <n v="126.6"/>
    <n v="170.42"/>
    <n v="253.2"/>
    <n v="82.78"/>
    <n v="3"/>
    <n v="5"/>
    <n v="41.39"/>
  </r>
  <r>
    <s v="2024-04-19"/>
    <x v="3"/>
    <n v="4"/>
    <s v="Adidas"/>
    <s v="Asia"/>
    <s v="Accessories"/>
    <s v="Socks"/>
    <s v="Credit Card"/>
    <n v="1"/>
    <n v="42.87"/>
    <n v="67.38"/>
    <n v="42.87"/>
    <n v="67.38"/>
    <n v="24.51"/>
    <n v="5"/>
    <n v="1"/>
    <n v="24.51"/>
  </r>
  <r>
    <s v="2024-05-12"/>
    <x v="3"/>
    <n v="4"/>
    <s v="Adidas"/>
    <s v="Asia"/>
    <s v="Shoes"/>
    <s v="Sneakers"/>
    <s v="Credit Card"/>
    <n v="2"/>
    <n v="113.35"/>
    <n v="203.53"/>
    <n v="226.7"/>
    <n v="407.06"/>
    <n v="180.36"/>
    <n v="2"/>
    <n v="5"/>
    <n v="90.18"/>
  </r>
  <r>
    <s v="2024-05-12"/>
    <x v="3"/>
    <n v="4"/>
    <s v="Nike"/>
    <s v="Asia"/>
    <s v="Shoes"/>
    <s v="Sneakers"/>
    <s v="Credit Card"/>
    <n v="6"/>
    <n v="68.91"/>
    <n v="107.62"/>
    <n v="413.46"/>
    <n v="645.72"/>
    <n v="232.26"/>
    <n v="1"/>
    <n v="3"/>
    <n v="38.71"/>
  </r>
  <r>
    <s v="2024-05-12"/>
    <x v="3"/>
    <n v="4"/>
    <s v="Nike"/>
    <s v="South America"/>
    <s v="Accessories"/>
    <s v="Cap"/>
    <s v="Cash"/>
    <n v="5"/>
    <n v="112.32"/>
    <n v="156.49"/>
    <n v="561.6"/>
    <n v="782.45"/>
    <n v="220.85"/>
    <n v="3"/>
    <n v="4"/>
    <n v="44.17"/>
  </r>
  <r>
    <s v="2024-06-19"/>
    <x v="3"/>
    <n v="4"/>
    <s v="Nike"/>
    <s v="South America"/>
    <s v="Accessories"/>
    <s v="Socks"/>
    <s v="Bank Transfer"/>
    <n v="7"/>
    <n v="82.57"/>
    <n v="135.13"/>
    <n v="577.99"/>
    <n v="945.91"/>
    <n v="367.92"/>
    <n v="6"/>
    <n v="3"/>
    <n v="52.56"/>
  </r>
  <r>
    <s v="2024-07-05"/>
    <x v="3"/>
    <n v="4"/>
    <s v="Nike"/>
    <s v="Europe"/>
    <s v="Apparel"/>
    <s v="Hoodie"/>
    <s v="Bank Transfer"/>
    <n v="1"/>
    <n v="53.22"/>
    <n v="82.06"/>
    <n v="53.22"/>
    <n v="82.06"/>
    <n v="28.84"/>
    <n v="10"/>
    <n v="5"/>
    <n v="28.84"/>
  </r>
  <r>
    <s v="2024-07-19"/>
    <x v="3"/>
    <n v="4"/>
    <s v="Nike"/>
    <s v="North America"/>
    <s v="Apparel"/>
    <s v="T-shirt"/>
    <s v="Bank Transfer"/>
    <n v="1"/>
    <n v="114.21"/>
    <n v="170.8"/>
    <n v="114.21"/>
    <n v="170.8"/>
    <n v="56.59"/>
    <n v="7"/>
    <n v="5"/>
    <n v="56.59"/>
  </r>
  <r>
    <s v="2024-08-05"/>
    <x v="3"/>
    <n v="4"/>
    <s v="Adidas"/>
    <s v="Europe"/>
    <s v="Apparel"/>
    <s v="Jacket"/>
    <s v="Bank Transfer"/>
    <n v="7"/>
    <n v="60"/>
    <n v="101.76"/>
    <n v="420"/>
    <n v="712.32"/>
    <n v="292.32"/>
    <n v="7"/>
    <n v="2"/>
    <n v="41.76"/>
  </r>
  <r>
    <s v="2024-08-05"/>
    <x v="3"/>
    <n v="4"/>
    <s v="Nike"/>
    <s v="South America"/>
    <s v="Accessories"/>
    <s v="Socks"/>
    <s v="Cash"/>
    <n v="2"/>
    <n v="106.83"/>
    <n v="161.68"/>
    <n v="213.66"/>
    <n v="323.36"/>
    <n v="109.7"/>
    <n v="3"/>
    <n v="3"/>
    <n v="54.85"/>
  </r>
  <r>
    <s v="2024-08-19"/>
    <x v="3"/>
    <n v="4"/>
    <s v="Adidas"/>
    <s v="South America"/>
    <s v="Apparel"/>
    <s v="Jacket"/>
    <s v="Bank Transfer"/>
    <n v="4"/>
    <n v="33.299999999999997"/>
    <n v="53.11"/>
    <n v="133.19999999999999"/>
    <n v="212.44"/>
    <n v="79.239999999999995"/>
    <n v="7"/>
    <n v="1"/>
    <n v="19.809999999999999"/>
  </r>
  <r>
    <s v="2024-08-19"/>
    <x v="3"/>
    <n v="4"/>
    <s v="Adidas"/>
    <s v="South America"/>
    <s v="Accessories"/>
    <s v="Backpack"/>
    <s v="Credit Card"/>
    <n v="6"/>
    <n v="39.4"/>
    <n v="66.75"/>
    <n v="236.4"/>
    <n v="400.5"/>
    <n v="164.1"/>
    <n v="2"/>
    <n v="2"/>
    <n v="27.349999999999998"/>
  </r>
  <r>
    <s v="2024-08-19"/>
    <x v="3"/>
    <n v="4"/>
    <s v="Nike"/>
    <s v="North America"/>
    <s v="Shoes"/>
    <s v="Sneakers"/>
    <s v="Bank Transfer"/>
    <n v="7"/>
    <n v="20.52"/>
    <n v="31.3"/>
    <n v="143.63999999999999"/>
    <n v="219.1"/>
    <n v="75.459999999999994"/>
    <n v="9"/>
    <n v="2"/>
    <n v="10.78"/>
  </r>
  <r>
    <s v="2024-09-05"/>
    <x v="3"/>
    <n v="4"/>
    <s v="Nike"/>
    <s v="South America"/>
    <s v="Shoes"/>
    <s v="Sneakers"/>
    <s v="Cash"/>
    <n v="2"/>
    <n v="99.68"/>
    <n v="153.47"/>
    <n v="199.36"/>
    <n v="306.94"/>
    <n v="107.58"/>
    <n v="3"/>
    <n v="5"/>
    <n v="53.79"/>
  </r>
  <r>
    <s v="2024-09-26"/>
    <x v="3"/>
    <n v="4"/>
    <s v="Adidas"/>
    <s v="South America"/>
    <s v="Apparel"/>
    <s v="T-shirt"/>
    <s v="Cash"/>
    <n v="4"/>
    <n v="90.95"/>
    <n v="124.05"/>
    <n v="363.8"/>
    <n v="496.2"/>
    <n v="132.4"/>
    <n v="3"/>
    <n v="5"/>
    <n v="33.1"/>
  </r>
  <r>
    <s v="2024-10-05"/>
    <x v="3"/>
    <n v="4"/>
    <s v="Nike"/>
    <s v="North America"/>
    <s v="Accessories"/>
    <s v="Socks"/>
    <s v="Credit Card"/>
    <n v="2"/>
    <n v="20.85"/>
    <n v="29.73"/>
    <n v="41.7"/>
    <n v="59.46"/>
    <n v="17.760000000000002"/>
    <n v="4"/>
    <n v="2"/>
    <n v="8.8800000000000008"/>
  </r>
  <r>
    <s v="2024-10-12"/>
    <x v="3"/>
    <n v="4"/>
    <s v="Adidas"/>
    <s v="South America"/>
    <s v="Apparel"/>
    <s v="Hoodie"/>
    <s v="Credit Card"/>
    <n v="9"/>
    <n v="25.61"/>
    <n v="34.69"/>
    <n v="230.49"/>
    <n v="312.20999999999998"/>
    <n v="81.72"/>
    <n v="1"/>
    <n v="4"/>
    <n v="9.08"/>
  </r>
  <r>
    <s v="2024-12-12"/>
    <x v="3"/>
    <n v="4"/>
    <s v="Nike"/>
    <s v="South America"/>
    <s v="Accessories"/>
    <s v="Cap"/>
    <s v="Cash"/>
    <n v="3"/>
    <n v="29.48"/>
    <n v="44.56"/>
    <n v="88.44"/>
    <n v="133.68"/>
    <n v="45.24"/>
    <n v="5"/>
    <n v="4"/>
    <n v="15.08"/>
  </r>
  <r>
    <s v="2024-12-26"/>
    <x v="3"/>
    <n v="4"/>
    <s v="Adidas"/>
    <s v="North America"/>
    <s v="Apparel"/>
    <s v="Hoodie"/>
    <s v="Credit Card"/>
    <n v="5"/>
    <n v="105.64"/>
    <n v="154.18"/>
    <n v="528.20000000000005"/>
    <n v="770.9"/>
    <n v="242.7"/>
    <n v="3"/>
    <n v="1"/>
    <n v="48.54"/>
  </r>
  <r>
    <s v="2024-12-26"/>
    <x v="3"/>
    <n v="4"/>
    <s v="Nike"/>
    <s v="Asia"/>
    <s v="Shoes"/>
    <s v="Running Shoes"/>
    <s v="Cash"/>
    <n v="1"/>
    <n v="41.68"/>
    <n v="59.2"/>
    <n v="41.68"/>
    <n v="59.2"/>
    <n v="17.52"/>
    <n v="3"/>
    <n v="2"/>
    <n v="17.52"/>
  </r>
  <r>
    <s v="2024-01-20"/>
    <x v="4"/>
    <n v="5"/>
    <s v="Nike"/>
    <s v="South America"/>
    <s v="Shoes"/>
    <s v="Training Shoes"/>
    <s v="Bank Transfer"/>
    <n v="10"/>
    <n v="60.59"/>
    <n v="104.3"/>
    <n v="605.9"/>
    <n v="1043"/>
    <n v="437.1"/>
    <n v="7"/>
    <n v="3"/>
    <n v="43.71"/>
  </r>
  <r>
    <s v="2024-01-27"/>
    <x v="4"/>
    <n v="5"/>
    <s v="Nike"/>
    <s v="North America"/>
    <s v="Shoes"/>
    <s v="Sneakers"/>
    <s v="Cash"/>
    <n v="8"/>
    <n v="104.05"/>
    <n v="135.44"/>
    <n v="832.4"/>
    <n v="1083.52"/>
    <n v="251.12"/>
    <n v="2"/>
    <n v="4"/>
    <n v="31.39"/>
  </r>
  <r>
    <s v="2024-02-06"/>
    <x v="4"/>
    <n v="5"/>
    <s v="Adidas"/>
    <s v="Europe"/>
    <s v="Shoes"/>
    <s v="Running Shoes"/>
    <s v="Credit Card"/>
    <n v="8"/>
    <n v="117.02"/>
    <n v="190.22"/>
    <n v="936.16"/>
    <n v="1521.76"/>
    <n v="585.6"/>
    <n v="2"/>
    <n v="5"/>
    <n v="73.2"/>
  </r>
  <r>
    <s v="2024-02-06"/>
    <x v="4"/>
    <n v="5"/>
    <s v="Nike"/>
    <s v="Europe"/>
    <s v="Shoes"/>
    <s v="Running Shoes"/>
    <s v="Credit Card"/>
    <n v="1"/>
    <n v="37.53"/>
    <n v="65.77"/>
    <n v="37.53"/>
    <n v="65.77"/>
    <n v="28.24"/>
    <n v="4"/>
    <n v="5"/>
    <n v="28.24"/>
  </r>
  <r>
    <s v="2024-02-13"/>
    <x v="4"/>
    <n v="5"/>
    <s v="Adidas"/>
    <s v="South America"/>
    <s v="Accessories"/>
    <s v="Socks"/>
    <s v="Credit Card"/>
    <n v="9"/>
    <n v="103.97"/>
    <n v="135.93"/>
    <n v="935.73"/>
    <n v="1223.3699999999999"/>
    <n v="287.64"/>
    <n v="1"/>
    <n v="1"/>
    <n v="31.959999999999997"/>
  </r>
  <r>
    <s v="2024-02-20"/>
    <x v="4"/>
    <n v="5"/>
    <s v="Adidas"/>
    <s v="Asia"/>
    <s v="Shoes"/>
    <s v="Running Shoes"/>
    <s v="Bank Transfer"/>
    <n v="9"/>
    <n v="84.54"/>
    <n v="144.63"/>
    <n v="760.86"/>
    <n v="1301.67"/>
    <n v="540.80999999999995"/>
    <n v="5"/>
    <n v="3"/>
    <n v="60.089999999999996"/>
  </r>
  <r>
    <s v="2024-03-20"/>
    <x v="4"/>
    <n v="5"/>
    <s v="Nike"/>
    <s v="Europe"/>
    <s v="Shoes"/>
    <s v="Sneakers"/>
    <s v="Credit Card"/>
    <n v="7"/>
    <n v="66.239999999999995"/>
    <n v="102.02"/>
    <n v="463.68"/>
    <n v="714.14"/>
    <n v="250.46"/>
    <n v="5"/>
    <n v="3"/>
    <n v="35.78"/>
  </r>
  <r>
    <s v="2024-07-27"/>
    <x v="4"/>
    <n v="5"/>
    <s v="Nike"/>
    <s v="South America"/>
    <s v="Shoes"/>
    <s v="Training Shoes"/>
    <s v="Credit Card"/>
    <n v="2"/>
    <n v="109.09"/>
    <n v="181.75"/>
    <n v="218.18"/>
    <n v="363.5"/>
    <n v="145.32"/>
    <n v="4"/>
    <n v="3"/>
    <n v="72.66"/>
  </r>
  <r>
    <s v="2024-08-06"/>
    <x v="4"/>
    <n v="5"/>
    <s v="Adidas"/>
    <s v="Asia"/>
    <s v="Shoes"/>
    <s v="Training Shoes"/>
    <s v="Bank Transfer"/>
    <n v="4"/>
    <n v="78.91"/>
    <n v="120.91"/>
    <n v="315.64"/>
    <n v="483.64"/>
    <n v="168"/>
    <n v="6"/>
    <n v="3"/>
    <n v="42"/>
  </r>
  <r>
    <s v="2024-09-20"/>
    <x v="4"/>
    <n v="5"/>
    <s v="Nike"/>
    <s v="Europe"/>
    <s v="Accessories"/>
    <s v="Backpack"/>
    <s v="Credit Card"/>
    <n v="6"/>
    <n v="72.989999999999995"/>
    <n v="120.53"/>
    <n v="437.94"/>
    <n v="723.18"/>
    <n v="285.24"/>
    <n v="4"/>
    <n v="1"/>
    <n v="47.54"/>
  </r>
  <r>
    <s v="2024-10-13"/>
    <x v="4"/>
    <n v="5"/>
    <s v="Nike"/>
    <s v="Asia"/>
    <s v="Shoes"/>
    <s v="Running Shoes"/>
    <s v="Credit Card"/>
    <n v="2"/>
    <n v="49.89"/>
    <n v="77.61"/>
    <n v="99.78"/>
    <n v="155.22"/>
    <n v="55.44"/>
    <n v="3"/>
    <n v="3"/>
    <n v="27.72"/>
  </r>
  <r>
    <s v="2024-10-20"/>
    <x v="4"/>
    <n v="5"/>
    <s v="Adidas"/>
    <s v="North America"/>
    <s v="Accessories"/>
    <s v="Socks"/>
    <s v="Credit Card"/>
    <n v="1"/>
    <n v="47.4"/>
    <n v="67.16"/>
    <n v="47.4"/>
    <n v="67.16"/>
    <n v="19.760000000000002"/>
    <n v="2"/>
    <n v="5"/>
    <n v="19.760000000000002"/>
  </r>
  <r>
    <s v="2024-01-07"/>
    <x v="5"/>
    <n v="6"/>
    <s v="Nike"/>
    <s v="North America"/>
    <s v="Shoes"/>
    <s v="Sneakers"/>
    <s v="Credit Card"/>
    <n v="9"/>
    <n v="108.59"/>
    <n v="182.16"/>
    <n v="977.31"/>
    <n v="1639.44"/>
    <n v="662.13"/>
    <n v="1"/>
    <n v="1"/>
    <n v="73.569999999999993"/>
  </r>
  <r>
    <s v="2024-01-07"/>
    <x v="5"/>
    <n v="6"/>
    <s v="Nike"/>
    <s v="Asia"/>
    <s v="Apparel"/>
    <s v="Jacket"/>
    <s v="Credit Card"/>
    <n v="3"/>
    <n v="116.03"/>
    <n v="180.62"/>
    <n v="348.09"/>
    <n v="541.86"/>
    <n v="193.77"/>
    <n v="1"/>
    <n v="3"/>
    <n v="64.59"/>
  </r>
  <r>
    <s v="2024-01-21"/>
    <x v="5"/>
    <n v="6"/>
    <s v="Adidas"/>
    <s v="Europe"/>
    <s v="Apparel"/>
    <s v="T-shirt"/>
    <s v="Bank Transfer"/>
    <n v="9"/>
    <n v="35.82"/>
    <n v="57.66"/>
    <n v="322.38"/>
    <n v="518.94000000000005"/>
    <n v="196.56"/>
    <n v="10"/>
    <n v="1"/>
    <n v="21.84"/>
  </r>
  <r>
    <s v="2024-02-21"/>
    <x v="5"/>
    <n v="6"/>
    <s v="Nike"/>
    <s v="Asia"/>
    <s v="Apparel"/>
    <s v="T-shirt"/>
    <s v="Credit Card"/>
    <n v="1"/>
    <n v="54.11"/>
    <n v="88.91"/>
    <n v="54.11"/>
    <n v="88.91"/>
    <n v="34.799999999999997"/>
    <n v="3"/>
    <n v="5"/>
    <n v="34.799999999999997"/>
  </r>
  <r>
    <s v="2024-02-21"/>
    <x v="5"/>
    <n v="6"/>
    <s v="Nike"/>
    <s v="South America"/>
    <s v="Accessories"/>
    <s v="Cap"/>
    <s v="Cash"/>
    <n v="2"/>
    <n v="72.52"/>
    <n v="99.47"/>
    <n v="145.04"/>
    <n v="198.94"/>
    <n v="53.9"/>
    <n v="3"/>
    <n v="3"/>
    <n v="26.95"/>
  </r>
  <r>
    <s v="2024-04-14"/>
    <x v="5"/>
    <n v="6"/>
    <s v="Adidas"/>
    <s v="South America"/>
    <s v="Shoes"/>
    <s v="Training Shoes"/>
    <s v="Cash"/>
    <n v="1"/>
    <n v="95.52"/>
    <n v="132.41999999999999"/>
    <n v="95.52"/>
    <n v="132.41999999999999"/>
    <n v="36.9"/>
    <n v="3"/>
    <n v="2"/>
    <n v="36.9"/>
  </r>
  <r>
    <s v="2024-05-28"/>
    <x v="5"/>
    <n v="6"/>
    <s v="Adidas"/>
    <s v="Europe"/>
    <s v="Shoes"/>
    <s v="Sneakers"/>
    <s v="Credit Card"/>
    <n v="10"/>
    <n v="44.49"/>
    <n v="79.08"/>
    <n v="444.9"/>
    <n v="790.8"/>
    <n v="345.9"/>
    <n v="3"/>
    <n v="3"/>
    <n v="34.589999999999996"/>
  </r>
  <r>
    <s v="2024-06-07"/>
    <x v="5"/>
    <n v="6"/>
    <s v="Adidas"/>
    <s v="Europe"/>
    <s v="Shoes"/>
    <s v="Running Shoes"/>
    <s v="Credit Card"/>
    <n v="9"/>
    <n v="41.01"/>
    <n v="62.19"/>
    <n v="369.09"/>
    <n v="559.71"/>
    <n v="190.62"/>
    <n v="2"/>
    <n v="2"/>
    <n v="21.18"/>
  </r>
  <r>
    <s v="2024-06-14"/>
    <x v="5"/>
    <n v="6"/>
    <s v="Adidas"/>
    <s v="South America"/>
    <s v="Shoes"/>
    <s v="Running Shoes"/>
    <s v="Cash"/>
    <n v="2"/>
    <n v="108.68"/>
    <n v="166"/>
    <n v="217.36"/>
    <n v="332"/>
    <n v="114.64"/>
    <n v="4"/>
    <n v="3"/>
    <n v="57.32"/>
  </r>
  <r>
    <s v="2024-06-21"/>
    <x v="5"/>
    <n v="6"/>
    <s v="Adidas"/>
    <s v="Asia"/>
    <s v="Apparel"/>
    <s v="T-shirt"/>
    <s v="Credit Card"/>
    <n v="4"/>
    <n v="33.630000000000003"/>
    <n v="48.22"/>
    <n v="134.52000000000001"/>
    <n v="192.88"/>
    <n v="58.36"/>
    <n v="4"/>
    <n v="2"/>
    <n v="14.59"/>
  </r>
  <r>
    <s v="2024-08-07"/>
    <x v="5"/>
    <n v="6"/>
    <s v="Adidas"/>
    <s v="North America"/>
    <s v="Shoes"/>
    <s v="Running Shoes"/>
    <s v="Cash"/>
    <n v="8"/>
    <n v="44.25"/>
    <n v="61.99"/>
    <n v="354"/>
    <n v="495.92"/>
    <n v="141.91999999999999"/>
    <n v="1"/>
    <n v="3"/>
    <n v="17.739999999999998"/>
  </r>
  <r>
    <s v="2024-01-29"/>
    <x v="6"/>
    <n v="7"/>
    <s v="Nike"/>
    <s v="North America"/>
    <s v="Shoes"/>
    <s v="Training Shoes"/>
    <s v="Cash"/>
    <n v="9"/>
    <n v="25.16"/>
    <n v="38.57"/>
    <n v="226.44"/>
    <n v="347.13"/>
    <n v="120.69"/>
    <n v="2"/>
    <n v="5"/>
    <n v="13.41"/>
  </r>
  <r>
    <s v="2024-02-08"/>
    <x v="6"/>
    <n v="7"/>
    <s v="Adidas"/>
    <s v="South America"/>
    <s v="Apparel"/>
    <s v="T-shirt"/>
    <s v="Bank Transfer"/>
    <n v="5"/>
    <n v="55.83"/>
    <n v="82.25"/>
    <n v="279.14999999999998"/>
    <n v="411.25"/>
    <n v="132.1"/>
    <n v="7"/>
    <n v="1"/>
    <n v="26.419999999999998"/>
  </r>
  <r>
    <s v="2024-02-15"/>
    <x v="6"/>
    <n v="7"/>
    <s v="Nike"/>
    <s v="South America"/>
    <s v="Shoes"/>
    <s v="Sneakers"/>
    <s v="Cash"/>
    <n v="1"/>
    <n v="83.64"/>
    <n v="144.37"/>
    <n v="83.64"/>
    <n v="144.37"/>
    <n v="60.73"/>
    <n v="1"/>
    <n v="5"/>
    <n v="60.73"/>
  </r>
  <r>
    <s v="2024-04-15"/>
    <x v="6"/>
    <n v="7"/>
    <s v="Nike"/>
    <s v="Asia"/>
    <s v="Accessories"/>
    <s v="Cap"/>
    <s v="Credit Card"/>
    <n v="8"/>
    <n v="61.08"/>
    <n v="79.930000000000007"/>
    <n v="488.64"/>
    <n v="639.44000000000005"/>
    <n v="150.80000000000001"/>
    <n v="3"/>
    <n v="1"/>
    <n v="18.850000000000001"/>
  </r>
  <r>
    <s v="2024-04-15"/>
    <x v="6"/>
    <n v="7"/>
    <s v="Nike"/>
    <s v="North America"/>
    <s v="Accessories"/>
    <s v="Socks"/>
    <s v="Bank Transfer"/>
    <n v="4"/>
    <n v="114.86"/>
    <n v="172.84"/>
    <n v="459.44"/>
    <n v="691.36"/>
    <n v="231.92"/>
    <n v="7"/>
    <n v="1"/>
    <n v="57.98"/>
  </r>
  <r>
    <s v="2024-05-29"/>
    <x v="6"/>
    <n v="7"/>
    <s v="Adidas"/>
    <s v="North America"/>
    <s v="Accessories"/>
    <s v="Backpack"/>
    <s v="Cash"/>
    <n v="8"/>
    <n v="114.3"/>
    <n v="169.55"/>
    <n v="914.4"/>
    <n v="1356.4"/>
    <n v="442"/>
    <n v="3"/>
    <n v="4"/>
    <n v="55.25"/>
  </r>
  <r>
    <s v="2024-06-15"/>
    <x v="6"/>
    <n v="7"/>
    <s v="Nike"/>
    <s v="Europe"/>
    <s v="Shoes"/>
    <s v="Sneakers"/>
    <s v="Credit Card"/>
    <n v="2"/>
    <n v="76.89"/>
    <n v="106.58"/>
    <n v="153.78"/>
    <n v="213.16"/>
    <n v="59.38"/>
    <n v="3"/>
    <n v="2"/>
    <n v="29.69"/>
  </r>
  <r>
    <s v="2024-06-22"/>
    <x v="6"/>
    <n v="7"/>
    <s v="Nike"/>
    <s v="Europe"/>
    <s v="Apparel"/>
    <s v="T-shirt"/>
    <s v="Credit Card"/>
    <n v="3"/>
    <n v="97.4"/>
    <n v="152.87"/>
    <n v="292.2"/>
    <n v="458.61"/>
    <n v="166.41"/>
    <n v="1"/>
    <n v="4"/>
    <n v="55.47"/>
  </r>
  <r>
    <s v="2024-07-15"/>
    <x v="6"/>
    <n v="7"/>
    <s v="Nike"/>
    <s v="South America"/>
    <s v="Accessories"/>
    <s v="Cap"/>
    <s v="Cash"/>
    <n v="1"/>
    <n v="91.55"/>
    <n v="154.83000000000001"/>
    <n v="91.55"/>
    <n v="154.83000000000001"/>
    <n v="63.28"/>
    <n v="4"/>
    <n v="5"/>
    <n v="63.28"/>
  </r>
  <r>
    <s v="2024-07-22"/>
    <x v="6"/>
    <n v="7"/>
    <s v="Adidas"/>
    <s v="Asia"/>
    <s v="Shoes"/>
    <s v="Running Shoes"/>
    <s v="Bank Transfer"/>
    <n v="2"/>
    <n v="79.2"/>
    <n v="113.89"/>
    <n v="158.4"/>
    <n v="227.78"/>
    <n v="69.38"/>
    <n v="10"/>
    <n v="5"/>
    <n v="34.69"/>
  </r>
  <r>
    <s v="2024-07-22"/>
    <x v="6"/>
    <n v="7"/>
    <s v="Adidas"/>
    <s v="Europe"/>
    <s v="Accessories"/>
    <s v="Backpack"/>
    <s v="Bank Transfer"/>
    <n v="5"/>
    <n v="32"/>
    <n v="53.06"/>
    <n v="160"/>
    <n v="265.3"/>
    <n v="105.3"/>
    <n v="10"/>
    <n v="3"/>
    <n v="21.06"/>
  </r>
  <r>
    <s v="2024-08-01"/>
    <x v="6"/>
    <n v="7"/>
    <s v="Adidas"/>
    <s v="Europe"/>
    <s v="Shoes"/>
    <s v="Running Shoes"/>
    <s v="Credit Card"/>
    <n v="1"/>
    <n v="87.43"/>
    <n v="127.57"/>
    <n v="87.43"/>
    <n v="127.57"/>
    <n v="40.14"/>
    <n v="5"/>
    <n v="5"/>
    <n v="40.14"/>
  </r>
  <r>
    <s v="2024-09-29"/>
    <x v="6"/>
    <n v="7"/>
    <s v="Adidas"/>
    <s v="Europe"/>
    <s v="Apparel"/>
    <s v="T-shirt"/>
    <s v="Credit Card"/>
    <n v="5"/>
    <n v="57.18"/>
    <n v="76.599999999999994"/>
    <n v="285.89999999999998"/>
    <n v="383"/>
    <n v="97.1"/>
    <n v="2"/>
    <n v="4"/>
    <n v="19.419999999999998"/>
  </r>
  <r>
    <s v="2024-12-08"/>
    <x v="6"/>
    <n v="7"/>
    <s v="Adidas"/>
    <s v="Asia"/>
    <s v="Apparel"/>
    <s v="Hoodie"/>
    <s v="Bank Transfer"/>
    <n v="2"/>
    <n v="73.59"/>
    <n v="105.15"/>
    <n v="147.18"/>
    <n v="210.3"/>
    <n v="63.12"/>
    <n v="7"/>
    <n v="3"/>
    <n v="3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CF2D00-1CB7-4EEB-8CE0-CC4DB4DE2140}"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79" rowHeaderCaption="Region">
  <location ref="A89:B96" firstHeaderRow="1" firstDataRow="1" firstDataCol="1"/>
  <pivotFields count="18">
    <pivotField compact="0" subtotalTop="0" showAll="0" defaultSubtotal="0"/>
    <pivotField axis="axisRow" compact="0" subtotalTop="0" showAll="0" defaultSubtotal="0">
      <items count="7">
        <item x="6"/>
        <item x="0"/>
        <item x="1"/>
        <item x="2"/>
        <item x="3"/>
        <item x="4"/>
        <item x="5"/>
      </items>
    </pivotField>
    <pivotField compact="0" subtotalTop="0" showAll="0" defaultSubtotal="0"/>
    <pivotField compact="0" subtotalTop="0" showAll="0" defaultSubtotal="0"/>
    <pivotField compact="0" subtotalTop="0" showAll="0" defaultSubtotal="0">
      <items count="4">
        <item x="0"/>
        <item x="1"/>
        <item x="3"/>
        <item x="2"/>
      </items>
    </pivotField>
    <pivotField compact="0" subtotalTop="0" showAll="0" defaultSubtotal="0"/>
    <pivotField compact="0" subtotalTop="0" showAll="0" defaultSubtotal="0"/>
    <pivotField compact="0" subtotalTop="0" showAll="0" defaultSubtotal="0"/>
    <pivotField dataField="1" compact="0"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subtotalTop="0" showAll="0" defaultSubtotal="0"/>
    <pivotField compact="0" numFmtId="2" subtotalTop="0" showAll="0" defaultSubtotal="0"/>
    <pivotField compact="0" numFmtId="164" subtotalTop="0" showAll="0" defaultSubtotal="0"/>
    <pivotField compact="0" subtotalTop="0" dragToRow="0" dragToCol="0" dragToPage="0" showAll="0" defaultSubtotal="0"/>
  </pivotFields>
  <rowFields count="1">
    <field x="1"/>
  </rowFields>
  <rowItems count="7">
    <i>
      <x/>
    </i>
    <i>
      <x v="1"/>
    </i>
    <i>
      <x v="2"/>
    </i>
    <i>
      <x v="3"/>
    </i>
    <i>
      <x v="4"/>
    </i>
    <i>
      <x v="5"/>
    </i>
    <i>
      <x v="6"/>
    </i>
  </rowItems>
  <colItems count="1">
    <i/>
  </colItems>
  <dataFields count="1">
    <dataField name="Quantity " fld="8" baseField="0" baseItem="0"/>
  </dataFields>
  <chartFormats count="1">
    <chartFormat chart="7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C75C6-ECBA-4C32-B60D-E9FA7166B48F}" name="RegionvsDays" cacheId="0" applyNumberFormats="0" applyBorderFormats="0" applyFontFormats="0" applyPatternFormats="0" applyAlignmentFormats="0" applyWidthHeightFormats="1" dataCaption="Values" updatedVersion="8" minRefreshableVersion="3" asteriskTotals="1" rowGrandTotals="0" colGrandTotals="0" itemPrintTitles="1" createdVersion="8" indent="0" compact="0" outline="1" outlineData="1" compactData="0" multipleFieldFilters="0" chartFormat="77" rowHeaderCaption="Region">
  <location ref="A43:E51" firstHeaderRow="1" firstDataRow="2" firstDataCol="1"/>
  <pivotFields count="18">
    <pivotField compact="0" subtotalTop="0" showAll="0" defaultSubtotal="0"/>
    <pivotField axis="axisRow" compact="0" subtotalTop="0" showAll="0" defaultSubtotal="0">
      <items count="7">
        <item x="0"/>
        <item x="1"/>
        <item x="2"/>
        <item x="3"/>
        <item x="4"/>
        <item x="5"/>
        <item x="6"/>
      </items>
    </pivotField>
    <pivotField compact="0" subtotalTop="0" showAll="0" defaultSubtotal="0"/>
    <pivotField compact="0" subtotalTop="0" showAll="0" defaultSubtotal="0"/>
    <pivotField axis="axisCol" compact="0" subtotalTop="0" showAll="0" defaultSubtotal="0">
      <items count="4">
        <item x="0"/>
        <item x="1"/>
        <item x="3"/>
        <item x="2"/>
      </items>
    </pivotField>
    <pivotField compact="0" subtotalTop="0" showAll="0" defaultSubtotal="0"/>
    <pivotField compact="0" subtotalTop="0" showAll="0" defaultSubtotal="0"/>
    <pivotField compact="0" subtotalTop="0" showAll="0" defaultSubtotal="0"/>
    <pivotField dataField="1" compact="0"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subtotalTop="0" showAll="0" defaultSubtotal="0"/>
    <pivotField compact="0" numFmtId="2" subtotalTop="0" showAll="0" defaultSubtotal="0"/>
    <pivotField compact="0" numFmtId="164" subtotalTop="0" showAll="0" defaultSubtotal="0"/>
    <pivotField compact="0" subtotalTop="0" dragToRow="0" dragToCol="0" dragToPage="0" showAll="0" defaultSubtotal="0"/>
  </pivotFields>
  <rowFields count="1">
    <field x="1"/>
  </rowFields>
  <rowItems count="7">
    <i>
      <x/>
    </i>
    <i>
      <x v="1"/>
    </i>
    <i>
      <x v="2"/>
    </i>
    <i>
      <x v="3"/>
    </i>
    <i>
      <x v="4"/>
    </i>
    <i>
      <x v="5"/>
    </i>
    <i>
      <x v="6"/>
    </i>
  </rowItems>
  <colFields count="1">
    <field x="4"/>
  </colFields>
  <colItems count="4">
    <i>
      <x/>
    </i>
    <i>
      <x v="1"/>
    </i>
    <i>
      <x v="2"/>
    </i>
    <i>
      <x v="3"/>
    </i>
  </colItems>
  <dataFields count="1">
    <dataField name="Quantity " fld="8" baseField="0" baseItem="0"/>
  </dataFields>
  <chartFormats count="16">
    <chartFormat chart="56" format="0" series="1">
      <pivotArea type="data" outline="0" fieldPosition="0">
        <references count="2">
          <reference field="4294967294" count="1" selected="0">
            <x v="0"/>
          </reference>
          <reference field="4" count="1" selected="0">
            <x v="0"/>
          </reference>
        </references>
      </pivotArea>
    </chartFormat>
    <chartFormat chart="56" format="1" series="1">
      <pivotArea type="data" outline="0" fieldPosition="0">
        <references count="2">
          <reference field="4294967294" count="1" selected="0">
            <x v="0"/>
          </reference>
          <reference field="4" count="1" selected="0">
            <x v="1"/>
          </reference>
        </references>
      </pivotArea>
    </chartFormat>
    <chartFormat chart="56" format="2" series="1">
      <pivotArea type="data" outline="0" fieldPosition="0">
        <references count="2">
          <reference field="4294967294" count="1" selected="0">
            <x v="0"/>
          </reference>
          <reference field="4" count="1" selected="0">
            <x v="2"/>
          </reference>
        </references>
      </pivotArea>
    </chartFormat>
    <chartFormat chart="56" format="3" series="1">
      <pivotArea type="data" outline="0" fieldPosition="0">
        <references count="2">
          <reference field="4294967294" count="1" selected="0">
            <x v="0"/>
          </reference>
          <reference field="4" count="1" selected="0">
            <x v="3"/>
          </reference>
        </references>
      </pivotArea>
    </chartFormat>
    <chartFormat chart="60" format="12" series="1">
      <pivotArea type="data" outline="0" fieldPosition="0">
        <references count="2">
          <reference field="4294967294" count="1" selected="0">
            <x v="0"/>
          </reference>
          <reference field="4" count="1" selected="0">
            <x v="0"/>
          </reference>
        </references>
      </pivotArea>
    </chartFormat>
    <chartFormat chart="60" format="13" series="1">
      <pivotArea type="data" outline="0" fieldPosition="0">
        <references count="2">
          <reference field="4294967294" count="1" selected="0">
            <x v="0"/>
          </reference>
          <reference field="4" count="1" selected="0">
            <x v="1"/>
          </reference>
        </references>
      </pivotArea>
    </chartFormat>
    <chartFormat chart="60" format="14" series="1">
      <pivotArea type="data" outline="0" fieldPosition="0">
        <references count="2">
          <reference field="4294967294" count="1" selected="0">
            <x v="0"/>
          </reference>
          <reference field="4" count="1" selected="0">
            <x v="2"/>
          </reference>
        </references>
      </pivotArea>
    </chartFormat>
    <chartFormat chart="60" format="15" series="1">
      <pivotArea type="data" outline="0" fieldPosition="0">
        <references count="2">
          <reference field="4294967294" count="1" selected="0">
            <x v="0"/>
          </reference>
          <reference field="4" count="1" selected="0">
            <x v="3"/>
          </reference>
        </references>
      </pivotArea>
    </chartFormat>
    <chartFormat chart="61" format="0" series="1">
      <pivotArea type="data" outline="0" fieldPosition="0">
        <references count="2">
          <reference field="4294967294" count="1" selected="0">
            <x v="0"/>
          </reference>
          <reference field="4" count="1" selected="0">
            <x v="0"/>
          </reference>
        </references>
      </pivotArea>
    </chartFormat>
    <chartFormat chart="61" format="1" series="1">
      <pivotArea type="data" outline="0" fieldPosition="0">
        <references count="2">
          <reference field="4294967294" count="1" selected="0">
            <x v="0"/>
          </reference>
          <reference field="4" count="1" selected="0">
            <x v="1"/>
          </reference>
        </references>
      </pivotArea>
    </chartFormat>
    <chartFormat chart="61" format="2" series="1">
      <pivotArea type="data" outline="0" fieldPosition="0">
        <references count="2">
          <reference field="4294967294" count="1" selected="0">
            <x v="0"/>
          </reference>
          <reference field="4" count="1" selected="0">
            <x v="2"/>
          </reference>
        </references>
      </pivotArea>
    </chartFormat>
    <chartFormat chart="61" format="3" series="1">
      <pivotArea type="data" outline="0" fieldPosition="0">
        <references count="2">
          <reference field="4294967294" count="1" selected="0">
            <x v="0"/>
          </reference>
          <reference field="4" count="1" selected="0">
            <x v="3"/>
          </reference>
        </references>
      </pivotArea>
    </chartFormat>
    <chartFormat chart="74" format="23" series="1">
      <pivotArea type="data" outline="0" fieldPosition="0">
        <references count="2">
          <reference field="4294967294" count="1" selected="0">
            <x v="0"/>
          </reference>
          <reference field="4" count="1" selected="0">
            <x v="0"/>
          </reference>
        </references>
      </pivotArea>
    </chartFormat>
    <chartFormat chart="74" format="24" series="1">
      <pivotArea type="data" outline="0" fieldPosition="0">
        <references count="2">
          <reference field="4294967294" count="1" selected="0">
            <x v="0"/>
          </reference>
          <reference field="4" count="1" selected="0">
            <x v="1"/>
          </reference>
        </references>
      </pivotArea>
    </chartFormat>
    <chartFormat chart="74" format="25" series="1">
      <pivotArea type="data" outline="0" fieldPosition="0">
        <references count="2">
          <reference field="4294967294" count="1" selected="0">
            <x v="0"/>
          </reference>
          <reference field="4" count="1" selected="0">
            <x v="2"/>
          </reference>
        </references>
      </pivotArea>
    </chartFormat>
    <chartFormat chart="74" format="26"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87F29-A351-44AD-8D45-CF5D566E8E7C}" name="ProductTabl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Product">
  <location ref="A4:C8" firstHeaderRow="0" firstDataRow="1" firstDataCol="1"/>
  <pivotFields count="18">
    <pivotField showAll="0"/>
    <pivotField showAll="0">
      <items count="8">
        <item x="6"/>
        <item x="0"/>
        <item x="1"/>
        <item x="2"/>
        <item x="3"/>
        <item x="4"/>
        <item x="5"/>
        <item t="default"/>
      </items>
    </pivotField>
    <pivotField showAll="0"/>
    <pivotField showAll="0"/>
    <pivotField showAll="0"/>
    <pivotField axis="axisRow" showAll="0">
      <items count="4">
        <item x="0"/>
        <item x="2"/>
        <item x="1"/>
        <item t="default"/>
      </items>
    </pivotField>
    <pivotField showAll="0"/>
    <pivotField showAll="0"/>
    <pivotField showAll="0"/>
    <pivotField numFmtId="164" showAll="0"/>
    <pivotField numFmtId="164" showAll="0"/>
    <pivotField numFmtId="164" showAll="0"/>
    <pivotField dataField="1" numFmtId="164" showAll="0"/>
    <pivotField dataField="1" numFmtId="164" showAll="0"/>
    <pivotField showAll="0"/>
    <pivotField numFmtId="2" showAll="0"/>
    <pivotField numFmtId="164" showAll="0"/>
    <pivotField dragToRow="0" dragToCol="0" dragToPage="0" showAll="0" defaultSubtotal="0"/>
  </pivotFields>
  <rowFields count="1">
    <field x="5"/>
  </rowFields>
  <rowItems count="4">
    <i>
      <x/>
    </i>
    <i>
      <x v="1"/>
    </i>
    <i>
      <x v="2"/>
    </i>
    <i t="grand">
      <x/>
    </i>
  </rowItems>
  <colFields count="1">
    <field x="-2"/>
  </colFields>
  <colItems count="2">
    <i>
      <x/>
    </i>
    <i i="1">
      <x v="1"/>
    </i>
  </colItems>
  <dataFields count="2">
    <dataField name="Profit " fld="13" baseField="0" baseItem="0" numFmtId="164"/>
    <dataField name="Revenue" fld="12" baseField="0" baseItem="0" numFmtId="164"/>
  </dataFields>
  <formats count="1">
    <format dxfId="0">
      <pivotArea collapsedLevelsAreSubtotals="1" fieldPosition="0">
        <references count="2">
          <reference field="4294967294" count="1" selected="0">
            <x v="1"/>
          </reference>
          <reference field="5" count="1">
            <x v="2"/>
          </reference>
        </references>
      </pivotArea>
    </format>
  </formats>
  <chartFormats count="1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1"/>
          </reference>
          <reference field="5" count="1" selected="0">
            <x v="2"/>
          </reference>
        </references>
      </pivotArea>
    </chartFormat>
    <chartFormat chart="13" format="3">
      <pivotArea type="data" outline="0" fieldPosition="0">
        <references count="2">
          <reference field="4294967294" count="1" selected="0">
            <x v="0"/>
          </reference>
          <reference field="5" count="1" selected="0">
            <x v="2"/>
          </reference>
        </references>
      </pivotArea>
    </chartFormat>
    <chartFormat chart="13" format="4">
      <pivotArea type="data" outline="0" fieldPosition="0">
        <references count="2">
          <reference field="4294967294" count="1" selected="0">
            <x v="1"/>
          </reference>
          <reference field="5" count="1" selected="0">
            <x v="0"/>
          </reference>
        </references>
      </pivotArea>
    </chartFormat>
    <chartFormat chart="13" format="5">
      <pivotArea type="data" outline="0" fieldPosition="0">
        <references count="2">
          <reference field="4294967294" count="1" selected="0">
            <x v="0"/>
          </reference>
          <reference field="5" count="1" selected="0">
            <x v="0"/>
          </reference>
        </references>
      </pivotArea>
    </chartFormat>
    <chartFormat chart="13" format="6">
      <pivotArea type="data" outline="0" fieldPosition="0">
        <references count="2">
          <reference field="4294967294" count="1" selected="0">
            <x v="1"/>
          </reference>
          <reference field="5" count="1" selected="0">
            <x v="1"/>
          </reference>
        </references>
      </pivotArea>
    </chartFormat>
    <chartFormat chart="13" format="7">
      <pivotArea type="data" outline="0" fieldPosition="0">
        <references count="2">
          <reference field="4294967294" count="1" selected="0">
            <x v="0"/>
          </reference>
          <reference field="5" count="1" selected="0">
            <x v="1"/>
          </reference>
        </references>
      </pivotArea>
    </chartFormat>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5" count="1" selected="0">
            <x v="0"/>
          </reference>
        </references>
      </pivotArea>
    </chartFormat>
    <chartFormat chart="20" format="20">
      <pivotArea type="data" outline="0" fieldPosition="0">
        <references count="2">
          <reference field="4294967294" count="1" selected="0">
            <x v="0"/>
          </reference>
          <reference field="5" count="1" selected="0">
            <x v="1"/>
          </reference>
        </references>
      </pivotArea>
    </chartFormat>
    <chartFormat chart="20" format="21">
      <pivotArea type="data" outline="0" fieldPosition="0">
        <references count="2">
          <reference field="4294967294" count="1" selected="0">
            <x v="0"/>
          </reference>
          <reference field="5" count="1" selected="0">
            <x v="2"/>
          </reference>
        </references>
      </pivotArea>
    </chartFormat>
    <chartFormat chart="20" format="22" series="1">
      <pivotArea type="data" outline="0" fieldPosition="0">
        <references count="1">
          <reference field="4294967294" count="1" selected="0">
            <x v="1"/>
          </reference>
        </references>
      </pivotArea>
    </chartFormat>
    <chartFormat chart="20" format="23">
      <pivotArea type="data" outline="0" fieldPosition="0">
        <references count="2">
          <reference field="4294967294" count="1" selected="0">
            <x v="1"/>
          </reference>
          <reference field="5" count="1" selected="0">
            <x v="0"/>
          </reference>
        </references>
      </pivotArea>
    </chartFormat>
    <chartFormat chart="20" format="24">
      <pivotArea type="data" outline="0" fieldPosition="0">
        <references count="2">
          <reference field="4294967294" count="1" selected="0">
            <x v="1"/>
          </reference>
          <reference field="5" count="1" selected="0">
            <x v="1"/>
          </reference>
        </references>
      </pivotArea>
    </chartFormat>
    <chartFormat chart="20" format="25">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6AFA1F-7DEA-4F4D-9679-E89BB9E30676}" name="BrandvsCountry"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61" rowHeaderCaption="Region">
  <location ref="A31:E34" firstHeaderRow="1" firstDataRow="2" firstDataCol="1"/>
  <pivotFields count="18">
    <pivotField compact="0" subtotalTop="0" showAll="0" defaultSubtotal="0"/>
    <pivotField compact="0" subtotalTop="0" showAll="0" defaultSubtotal="0">
      <items count="7">
        <item x="6"/>
        <item x="0"/>
        <item x="1"/>
        <item x="2"/>
        <item x="3"/>
        <item x="4"/>
        <item x="5"/>
      </items>
    </pivotField>
    <pivotField compact="0" subtotalTop="0" showAll="0" defaultSubtotal="0"/>
    <pivotField axis="axisRow" compact="0" subtotalTop="0" showAll="0" defaultSubtotal="0">
      <items count="2">
        <item x="1"/>
        <item x="0"/>
      </items>
    </pivotField>
    <pivotField axis="axisCol" compact="0" subtotalTop="0" showAll="0" defaultSubtotal="0">
      <items count="4">
        <item x="0"/>
        <item x="1"/>
        <item x="3"/>
        <item x="2"/>
      </items>
    </pivotField>
    <pivotField compact="0" subtotalTop="0" showAll="0" defaultSubtotal="0"/>
    <pivotField compact="0" subtotalTop="0" showAll="0" defaultSubtotal="0"/>
    <pivotField compact="0" subtotalTop="0" showAll="0" defaultSubtotal="0"/>
    <pivotField dataField="1" compact="0"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subtotalTop="0" showAll="0" defaultSubtotal="0"/>
    <pivotField compact="0" numFmtId="2" subtotalTop="0" showAll="0" defaultSubtotal="0"/>
    <pivotField compact="0" numFmtId="164" subtotalTop="0" showAll="0" defaultSubtotal="0"/>
    <pivotField compact="0" subtotalTop="0" dragToRow="0" dragToCol="0" dragToPage="0" showAll="0" defaultSubtotal="0"/>
  </pivotFields>
  <rowFields count="1">
    <field x="3"/>
  </rowFields>
  <rowItems count="2">
    <i>
      <x/>
    </i>
    <i>
      <x v="1"/>
    </i>
  </rowItems>
  <colFields count="1">
    <field x="4"/>
  </colFields>
  <colItems count="4">
    <i>
      <x/>
    </i>
    <i>
      <x v="1"/>
    </i>
    <i>
      <x v="2"/>
    </i>
    <i>
      <x v="3"/>
    </i>
  </colItems>
  <dataFields count="1">
    <dataField name="Quantity " fld="8" baseField="0" baseItem="0"/>
  </dataFields>
  <chartFormats count="12">
    <chartFormat chart="56" format="0" series="1">
      <pivotArea type="data" outline="0" fieldPosition="0">
        <references count="2">
          <reference field="4294967294" count="1" selected="0">
            <x v="0"/>
          </reference>
          <reference field="4" count="1" selected="0">
            <x v="0"/>
          </reference>
        </references>
      </pivotArea>
    </chartFormat>
    <chartFormat chart="56" format="1" series="1">
      <pivotArea type="data" outline="0" fieldPosition="0">
        <references count="2">
          <reference field="4294967294" count="1" selected="0">
            <x v="0"/>
          </reference>
          <reference field="4" count="1" selected="0">
            <x v="1"/>
          </reference>
        </references>
      </pivotArea>
    </chartFormat>
    <chartFormat chart="56" format="2" series="1">
      <pivotArea type="data" outline="0" fieldPosition="0">
        <references count="2">
          <reference field="4294967294" count="1" selected="0">
            <x v="0"/>
          </reference>
          <reference field="4" count="1" selected="0">
            <x v="2"/>
          </reference>
        </references>
      </pivotArea>
    </chartFormat>
    <chartFormat chart="56" format="3" series="1">
      <pivotArea type="data" outline="0" fieldPosition="0">
        <references count="2">
          <reference field="4294967294" count="1" selected="0">
            <x v="0"/>
          </reference>
          <reference field="4" count="1" selected="0">
            <x v="3"/>
          </reference>
        </references>
      </pivotArea>
    </chartFormat>
    <chartFormat chart="56" format="4">
      <pivotArea type="data" outline="0" fieldPosition="0">
        <references count="3">
          <reference field="4294967294" count="1" selected="0">
            <x v="0"/>
          </reference>
          <reference field="3" count="1" selected="0">
            <x v="0"/>
          </reference>
          <reference field="4" count="1" selected="0">
            <x v="3"/>
          </reference>
        </references>
      </pivotArea>
    </chartFormat>
    <chartFormat chart="56" format="5">
      <pivotArea type="data" outline="0" fieldPosition="0">
        <references count="3">
          <reference field="4294967294" count="1" selected="0">
            <x v="0"/>
          </reference>
          <reference field="3" count="1" selected="0">
            <x v="1"/>
          </reference>
          <reference field="4" count="1" selected="0">
            <x v="3"/>
          </reference>
        </references>
      </pivotArea>
    </chartFormat>
    <chartFormat chart="60" format="12" series="1">
      <pivotArea type="data" outline="0" fieldPosition="0">
        <references count="2">
          <reference field="4294967294" count="1" selected="0">
            <x v="0"/>
          </reference>
          <reference field="4" count="1" selected="0">
            <x v="0"/>
          </reference>
        </references>
      </pivotArea>
    </chartFormat>
    <chartFormat chart="60" format="13" series="1">
      <pivotArea type="data" outline="0" fieldPosition="0">
        <references count="2">
          <reference field="4294967294" count="1" selected="0">
            <x v="0"/>
          </reference>
          <reference field="4" count="1" selected="0">
            <x v="1"/>
          </reference>
        </references>
      </pivotArea>
    </chartFormat>
    <chartFormat chart="60" format="14" series="1">
      <pivotArea type="data" outline="0" fieldPosition="0">
        <references count="2">
          <reference field="4294967294" count="1" selected="0">
            <x v="0"/>
          </reference>
          <reference field="4" count="1" selected="0">
            <x v="2"/>
          </reference>
        </references>
      </pivotArea>
    </chartFormat>
    <chartFormat chart="60" format="15" series="1">
      <pivotArea type="data" outline="0" fieldPosition="0">
        <references count="2">
          <reference field="4294967294" count="1" selected="0">
            <x v="0"/>
          </reference>
          <reference field="4" count="1" selected="0">
            <x v="3"/>
          </reference>
        </references>
      </pivotArea>
    </chartFormat>
    <chartFormat chart="60" format="16">
      <pivotArea type="data" outline="0" fieldPosition="0">
        <references count="3">
          <reference field="4294967294" count="1" selected="0">
            <x v="0"/>
          </reference>
          <reference field="3" count="1" selected="0">
            <x v="0"/>
          </reference>
          <reference field="4" count="1" selected="0">
            <x v="3"/>
          </reference>
        </references>
      </pivotArea>
    </chartFormat>
    <chartFormat chart="60" format="17">
      <pivotArea type="data" outline="0" fieldPosition="0">
        <references count="3">
          <reference field="4294967294" count="1" selected="0">
            <x v="0"/>
          </reference>
          <reference field="3"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5214C-FBF2-47F2-A989-CA00061FD2F9}" name="RegionvsBrand"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59" rowHeaderCaption="Region">
  <location ref="A20:E26" firstHeaderRow="1" firstDataRow="3" firstDataCol="1"/>
  <pivotFields count="18">
    <pivotField compact="0" subtotalTop="0" showAll="0" defaultSubtotal="0"/>
    <pivotField compact="0" subtotalTop="0" showAll="0" defaultSubtotal="0">
      <items count="7">
        <item x="6"/>
        <item x="0"/>
        <item x="1"/>
        <item x="2"/>
        <item x="3"/>
        <item x="4"/>
        <item x="5"/>
      </items>
    </pivotField>
    <pivotField compact="0" subtotalTop="0" showAll="0" defaultSubtotal="0"/>
    <pivotField axis="axisCol" compact="0" subtotalTop="0" showAll="0" defaultSubtotal="0">
      <items count="2">
        <item x="1"/>
        <item x="0"/>
      </items>
    </pivotField>
    <pivotField axis="axisRow" compact="0" subtotalTop="0" showAll="0" defaultSubtotal="0">
      <items count="4">
        <item x="0"/>
        <item x="1"/>
        <item x="3"/>
        <item x="2"/>
      </items>
    </pivotField>
    <pivotField compact="0" subtotalTop="0" showAll="0" defaultSubtotal="0"/>
    <pivotField compact="0" subtotalTop="0" showAll="0" sortType="ascending" defaultSubtotal="0">
      <autoSortScope>
        <pivotArea dataOnly="0" outline="0" fieldPosition="0">
          <references count="1">
            <reference field="4294967294" count="1" selected="0">
              <x v="1"/>
            </reference>
          </references>
        </pivotArea>
      </autoSortScope>
    </pivotField>
    <pivotField compact="0" subtotalTop="0" showAll="0" defaultSubtotal="0"/>
    <pivotField dataField="1" compact="0" subtotalTop="0" showAll="0" defaultSubtotal="0"/>
    <pivotField compact="0" numFmtId="164" subtotalTop="0" showAll="0" defaultSubtotal="0"/>
    <pivotField dataField="1" compact="0" numFmtId="164" subtotalTop="0" showAll="0" defaultSubtotal="0"/>
    <pivotField compact="0" numFmtId="164" subtotalTop="0" showAll="0" defaultSubtotal="0"/>
    <pivotField compact="0" numFmtId="164" subtotalTop="0" showAll="0" defaultSubtotal="0"/>
    <pivotField compact="0" numFmtId="164" subtotalTop="0" showAll="0" defaultSubtotal="0"/>
    <pivotField compact="0" subtotalTop="0" showAll="0" defaultSubtotal="0"/>
    <pivotField compact="0" numFmtId="2" subtotalTop="0" showAll="0" defaultSubtotal="0"/>
    <pivotField compact="0" numFmtId="164" subtotalTop="0" showAll="0" defaultSubtotal="0"/>
    <pivotField compact="0" subtotalTop="0" dragToRow="0" dragToCol="0" dragToPage="0" showAll="0" defaultSubtotal="0"/>
  </pivotFields>
  <rowFields count="1">
    <field x="4"/>
  </rowFields>
  <rowItems count="4">
    <i>
      <x/>
    </i>
    <i>
      <x v="1"/>
    </i>
    <i>
      <x v="2"/>
    </i>
    <i>
      <x v="3"/>
    </i>
  </rowItems>
  <colFields count="2">
    <field x="3"/>
    <field x="-2"/>
  </colFields>
  <colItems count="4">
    <i>
      <x/>
      <x/>
    </i>
    <i r="1" i="1">
      <x v="1"/>
    </i>
    <i>
      <x v="1"/>
      <x/>
    </i>
    <i r="1" i="1">
      <x v="1"/>
    </i>
  </colItems>
  <dataFields count="2">
    <dataField name="Price" fld="10" subtotal="average" baseField="0" baseItem="0" numFmtId="164"/>
    <dataField name="Quantity " fld="8" baseField="0" baseItem="0"/>
  </dataFields>
  <chartFormats count="15">
    <chartFormat chart="39" format="0" series="1">
      <pivotArea type="data" outline="0" fieldPosition="0">
        <references count="1">
          <reference field="4294967294" count="1" selected="0">
            <x v="1"/>
          </reference>
        </references>
      </pivotArea>
    </chartFormat>
    <chartFormat chart="39" format="1" series="1">
      <pivotArea type="data" outline="0" fieldPosition="0">
        <references count="2">
          <reference field="4294967294" count="1" selected="0">
            <x v="1"/>
          </reference>
          <reference field="3" count="1" selected="0">
            <x v="1"/>
          </reference>
        </references>
      </pivotArea>
    </chartFormat>
    <chartFormat chart="42" format="0" series="1">
      <pivotArea type="data" outline="0" fieldPosition="0">
        <references count="2">
          <reference field="4294967294" count="1" selected="0">
            <x v="1"/>
          </reference>
          <reference field="3" count="1" selected="0">
            <x v="0"/>
          </reference>
        </references>
      </pivotArea>
    </chartFormat>
    <chartFormat chart="42" format="1" series="1">
      <pivotArea type="data" outline="0" fieldPosition="0">
        <references count="2">
          <reference field="4294967294" count="1" selected="0">
            <x v="1"/>
          </reference>
          <reference field="3" count="1" selected="0">
            <x v="1"/>
          </reference>
        </references>
      </pivotArea>
    </chartFormat>
    <chartFormat chart="42" format="2" series="1">
      <pivotArea type="data" outline="0" fieldPosition="0">
        <references count="2">
          <reference field="4294967294" count="1" selected="0">
            <x v="0"/>
          </reference>
          <reference field="3" count="1" selected="0">
            <x v="1"/>
          </reference>
        </references>
      </pivotArea>
    </chartFormat>
    <chartFormat chart="42" format="3" series="1">
      <pivotArea type="data" outline="0" fieldPosition="0">
        <references count="2">
          <reference field="4294967294" count="1" selected="0">
            <x v="0"/>
          </reference>
          <reference field="3" count="1" selected="0">
            <x v="0"/>
          </reference>
        </references>
      </pivotArea>
    </chartFormat>
    <chartFormat chart="39" format="2" series="1">
      <pivotArea type="data" outline="0" fieldPosition="0">
        <references count="2">
          <reference field="4294967294" count="1" selected="0">
            <x v="0"/>
          </reference>
          <reference field="3" count="1" selected="0">
            <x v="1"/>
          </reference>
        </references>
      </pivotArea>
    </chartFormat>
    <chartFormat chart="39" format="3" series="1">
      <pivotArea type="data" outline="0" fieldPosition="0">
        <references count="2">
          <reference field="4294967294" count="1" selected="0">
            <x v="0"/>
          </reference>
          <reference field="3" count="1" selected="0">
            <x v="0"/>
          </reference>
        </references>
      </pivotArea>
    </chartFormat>
    <chartFormat chart="42" format="4">
      <pivotArea type="data" outline="0" fieldPosition="0">
        <references count="3">
          <reference field="4294967294" count="1" selected="0">
            <x v="0"/>
          </reference>
          <reference field="3" count="1" selected="0">
            <x v="1"/>
          </reference>
          <reference field="4" count="1" selected="0">
            <x v="2"/>
          </reference>
        </references>
      </pivotArea>
    </chartFormat>
    <chartFormat chart="42" format="5">
      <pivotArea type="data" outline="0" fieldPosition="0">
        <references count="3">
          <reference field="4294967294" count="1" selected="0">
            <x v="0"/>
          </reference>
          <reference field="3" count="1" selected="0">
            <x v="1"/>
          </reference>
          <reference field="4" count="1" selected="0">
            <x v="3"/>
          </reference>
        </references>
      </pivotArea>
    </chartFormat>
    <chartFormat chart="42" format="6">
      <pivotArea type="data" outline="0" fieldPosition="0">
        <references count="3">
          <reference field="4294967294" count="1" selected="0">
            <x v="1"/>
          </reference>
          <reference field="3" count="1" selected="0">
            <x v="1"/>
          </reference>
          <reference field="4" count="1" selected="0">
            <x v="2"/>
          </reference>
        </references>
      </pivotArea>
    </chartFormat>
    <chartFormat chart="58" format="11" series="1">
      <pivotArea type="data" outline="0" fieldPosition="0">
        <references count="2">
          <reference field="4294967294" count="1" selected="0">
            <x v="1"/>
          </reference>
          <reference field="3" count="1" selected="0">
            <x v="0"/>
          </reference>
        </references>
      </pivotArea>
    </chartFormat>
    <chartFormat chart="58" format="12" series="1">
      <pivotArea type="data" outline="0" fieldPosition="0">
        <references count="2">
          <reference field="4294967294" count="1" selected="0">
            <x v="1"/>
          </reference>
          <reference field="3" count="1" selected="0">
            <x v="1"/>
          </reference>
        </references>
      </pivotArea>
    </chartFormat>
    <chartFormat chart="58" format="13" series="1">
      <pivotArea type="data" outline="0" fieldPosition="0">
        <references count="2">
          <reference field="4294967294" count="1" selected="0">
            <x v="0"/>
          </reference>
          <reference field="3" count="1" selected="0">
            <x v="0"/>
          </reference>
        </references>
      </pivotArea>
    </chartFormat>
    <chartFormat chart="58" format="14"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A0EC99-15AC-404C-8983-519B1EEDB681}" name="RegionTabl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rowHeaderCaption="Region">
  <location ref="A12:D17" firstHeaderRow="0" firstDataRow="1" firstDataCol="1"/>
  <pivotFields count="18">
    <pivotField showAll="0"/>
    <pivotField showAll="0">
      <items count="8">
        <item x="6"/>
        <item x="0"/>
        <item x="1"/>
        <item x="2"/>
        <item x="3"/>
        <item x="4"/>
        <item x="5"/>
        <item t="default"/>
      </items>
    </pivotField>
    <pivotField showAll="0"/>
    <pivotField showAll="0"/>
    <pivotField axis="axisRow" showAll="0">
      <items count="5">
        <item x="0"/>
        <item x="1"/>
        <item x="3"/>
        <item x="2"/>
        <item t="default"/>
      </items>
    </pivotField>
    <pivotField showAll="0"/>
    <pivotField showAll="0"/>
    <pivotField showAll="0"/>
    <pivotField showAll="0"/>
    <pivotField numFmtId="164" showAll="0"/>
    <pivotField numFmtId="164" showAll="0"/>
    <pivotField numFmtId="164" showAll="0"/>
    <pivotField dataField="1" numFmtId="164" showAll="0"/>
    <pivotField dataField="1" numFmtId="164" showAll="0"/>
    <pivotField dataField="1" showAll="0"/>
    <pivotField numFmtId="2" showAll="0"/>
    <pivotField numFmtId="164" showAll="0"/>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Delivery Time(Days)" fld="14" subtotal="average" baseField="0" baseItem="0" numFmtId="1"/>
    <dataField name="Profit " fld="13" subtotal="average" baseField="0" baseItem="0" numFmtId="165"/>
    <dataField name="Revenue " fld="12" subtotal="average" baseField="0" baseItem="0" numFmtId="164"/>
  </dataFields>
  <formats count="3">
    <format dxfId="3">
      <pivotArea collapsedLevelsAreSubtotals="1" fieldPosition="0">
        <references count="2">
          <reference field="4294967294" count="1" selected="0">
            <x v="0"/>
          </reference>
          <reference field="4" count="1">
            <x v="0"/>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0"/>
          </reference>
        </references>
      </pivotArea>
    </format>
  </formats>
  <chartFormats count="6">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2"/>
          </reference>
        </references>
      </pivotArea>
    </chartFormat>
    <chartFormat chart="41" format="8" series="1">
      <pivotArea type="data" outline="0" fieldPosition="0">
        <references count="1">
          <reference field="4294967294" count="1" selected="0">
            <x v="1"/>
          </reference>
        </references>
      </pivotArea>
    </chartFormat>
    <chartFormat chart="41" format="9" series="1">
      <pivotArea type="data" outline="0" fieldPosition="0">
        <references count="1">
          <reference field="4294967294" count="1" selected="0">
            <x v="2"/>
          </reference>
        </references>
      </pivotArea>
    </chartFormat>
    <chartFormat chart="4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DB9D1C-D5C1-4B32-80AA-1C4918472E4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WeekPart">
  <location ref="R1:S4" firstHeaderRow="1" firstDataRow="1" firstDataCol="1"/>
  <pivotFields count="18">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showAll="0"/>
    <pivotField numFmtId="2" showAll="0"/>
    <pivotField numFmtId="164" showAll="0"/>
    <pivotField axis="axisRow" showAll="0">
      <items count="3">
        <item n="Weekday" sd="0" x="0"/>
        <item n="Weekend" sd="0" x="1"/>
        <item t="default"/>
      </items>
    </pivotField>
  </pivotFields>
  <rowFields count="2">
    <field x="17"/>
    <field x="1"/>
  </rowFields>
  <rowItems count="3">
    <i>
      <x/>
    </i>
    <i>
      <x v="1"/>
    </i>
    <i t="grand">
      <x/>
    </i>
  </rowItems>
  <colItems count="1">
    <i/>
  </colItems>
  <dataFields count="1">
    <dataField name="Sum of Quantity" fld="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y1" xr10:uid="{0CD407E0-A65E-44B1-B330-3BB8151FA3AB}" sourceName="OrderDay">
  <pivotTables>
    <pivotTable tabId="2" name="RegionTable"/>
    <pivotTable tabId="2" name="BrandvsCountry"/>
    <pivotTable tabId="2" name="PivotTable7"/>
    <pivotTable tabId="2" name="ProductTable"/>
    <pivotTable tabId="2" name="RegionvsBrand"/>
    <pivotTable tabId="2" name="RegionvsDays"/>
  </pivotTables>
  <data>
    <tabular pivotCacheId="772167532">
      <items count="7">
        <i x="6" s="1"/>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y 2" xr10:uid="{318B51B1-0A01-46DC-A599-A1F129C4AF8C}" cache="Slicer_OrderDay1" caption="OrderDa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y 1" xr10:uid="{CBDAA4C5-2ECB-42F0-8852-6CE2D0E2A79D}" cache="Slicer_OrderDay1" caption="OrderDa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7950-8AC7-47CD-BB48-E34ED4A33E93}">
  <dimension ref="A1:L96"/>
  <sheetViews>
    <sheetView showGridLines="0" zoomScale="70" zoomScaleNormal="70" workbookViewId="0">
      <selection activeCell="L23" sqref="L23"/>
    </sheetView>
  </sheetViews>
  <sheetFormatPr defaultRowHeight="14.4" x14ac:dyDescent="0.3"/>
  <cols>
    <col min="1" max="1" width="13.88671875" bestFit="1" customWidth="1"/>
    <col min="2" max="2" width="15.33203125" bestFit="1" customWidth="1"/>
    <col min="3" max="3" width="26.21875" customWidth="1"/>
    <col min="4" max="4" width="26.77734375" customWidth="1"/>
    <col min="5" max="5" width="14.109375" customWidth="1"/>
    <col min="6" max="6" width="10.6640625" customWidth="1"/>
    <col min="7" max="7" width="12.77734375" customWidth="1"/>
    <col min="8" max="8" width="9.6640625" customWidth="1"/>
    <col min="9" max="9" width="15.33203125" customWidth="1"/>
  </cols>
  <sheetData>
    <row r="1" spans="1:12" x14ac:dyDescent="0.3">
      <c r="L1" s="15"/>
    </row>
    <row r="4" spans="1:12" x14ac:dyDescent="0.3">
      <c r="A4" s="9" t="s">
        <v>4</v>
      </c>
      <c r="B4" t="s">
        <v>121</v>
      </c>
      <c r="C4" t="s">
        <v>122</v>
      </c>
    </row>
    <row r="5" spans="1:12" x14ac:dyDescent="0.3">
      <c r="A5" s="1" t="s">
        <v>28</v>
      </c>
      <c r="B5" s="10">
        <v>4802.2299999999996</v>
      </c>
      <c r="C5" s="10">
        <v>14272.829999999998</v>
      </c>
    </row>
    <row r="6" spans="1:12" x14ac:dyDescent="0.3">
      <c r="A6" s="1" t="s">
        <v>17</v>
      </c>
      <c r="B6" s="10">
        <v>6011.47</v>
      </c>
      <c r="C6" s="10">
        <v>16658.749999999996</v>
      </c>
    </row>
    <row r="7" spans="1:12" x14ac:dyDescent="0.3">
      <c r="A7" s="1" t="s">
        <v>21</v>
      </c>
      <c r="B7" s="10">
        <v>8563.8299999999963</v>
      </c>
      <c r="C7" s="11">
        <v>22984.239999999998</v>
      </c>
    </row>
    <row r="8" spans="1:12" x14ac:dyDescent="0.3">
      <c r="A8" s="1" t="s">
        <v>119</v>
      </c>
      <c r="B8" s="10">
        <v>19377.53</v>
      </c>
      <c r="C8" s="10">
        <v>53915.819999999992</v>
      </c>
    </row>
    <row r="12" spans="1:12" x14ac:dyDescent="0.3">
      <c r="A12" s="9" t="s">
        <v>2</v>
      </c>
      <c r="B12" t="s">
        <v>125</v>
      </c>
      <c r="C12" t="s">
        <v>121</v>
      </c>
      <c r="D12" t="s">
        <v>126</v>
      </c>
    </row>
    <row r="13" spans="1:12" x14ac:dyDescent="0.3">
      <c r="A13" s="1" t="s">
        <v>25</v>
      </c>
      <c r="B13" s="14">
        <v>4.9565217391304346</v>
      </c>
      <c r="C13" s="13">
        <v>161.41086956521741</v>
      </c>
      <c r="D13" s="10">
        <v>465.86565217391302</v>
      </c>
    </row>
    <row r="14" spans="1:12" x14ac:dyDescent="0.3">
      <c r="A14" s="1" t="s">
        <v>16</v>
      </c>
      <c r="B14" s="14">
        <v>4.4333333333333336</v>
      </c>
      <c r="C14" s="13">
        <v>211.83300000000003</v>
      </c>
      <c r="D14" s="10">
        <v>568.02</v>
      </c>
    </row>
    <row r="15" spans="1:12" x14ac:dyDescent="0.3">
      <c r="A15" s="1" t="s">
        <v>33</v>
      </c>
      <c r="B15" s="14">
        <v>3.7</v>
      </c>
      <c r="C15" s="13">
        <v>225.98000000000002</v>
      </c>
      <c r="D15" s="10">
        <v>631.9849999999999</v>
      </c>
    </row>
    <row r="16" spans="1:12" x14ac:dyDescent="0.3">
      <c r="A16" s="1" t="s">
        <v>27</v>
      </c>
      <c r="B16" s="14">
        <v>3.4444444444444446</v>
      </c>
      <c r="C16" s="13">
        <v>177.42555555555549</v>
      </c>
      <c r="D16" s="10">
        <v>500.76333333333338</v>
      </c>
    </row>
    <row r="17" spans="1:5" x14ac:dyDescent="0.3">
      <c r="A17" s="1" t="s">
        <v>119</v>
      </c>
      <c r="B17" s="14">
        <v>4.1399999999999997</v>
      </c>
      <c r="C17" s="13">
        <v>193.77530000000002</v>
      </c>
      <c r="D17" s="10">
        <v>539.15820000000008</v>
      </c>
    </row>
    <row r="20" spans="1:5" x14ac:dyDescent="0.3">
      <c r="B20" s="9" t="s">
        <v>1</v>
      </c>
      <c r="C20" s="9" t="s">
        <v>120</v>
      </c>
    </row>
    <row r="21" spans="1:5" x14ac:dyDescent="0.3">
      <c r="B21" t="s">
        <v>24</v>
      </c>
      <c r="D21" t="s">
        <v>15</v>
      </c>
    </row>
    <row r="22" spans="1:5" x14ac:dyDescent="0.3">
      <c r="A22" s="9" t="s">
        <v>2</v>
      </c>
      <c r="B22" t="s">
        <v>127</v>
      </c>
      <c r="C22" t="s">
        <v>123</v>
      </c>
      <c r="D22" t="s">
        <v>127</v>
      </c>
      <c r="E22" t="s">
        <v>123</v>
      </c>
    </row>
    <row r="23" spans="1:5" x14ac:dyDescent="0.3">
      <c r="A23" t="s">
        <v>25</v>
      </c>
      <c r="B23" s="10">
        <v>101.05083333333334</v>
      </c>
      <c r="C23">
        <v>53</v>
      </c>
      <c r="D23" s="10">
        <v>100.31818181818181</v>
      </c>
      <c r="E23">
        <v>49</v>
      </c>
    </row>
    <row r="24" spans="1:5" x14ac:dyDescent="0.3">
      <c r="A24" t="s">
        <v>16</v>
      </c>
      <c r="B24" s="10">
        <v>106.33571428571427</v>
      </c>
      <c r="C24">
        <v>89</v>
      </c>
      <c r="D24" s="10">
        <v>105.110625</v>
      </c>
      <c r="E24">
        <v>74</v>
      </c>
    </row>
    <row r="25" spans="1:5" x14ac:dyDescent="0.3">
      <c r="A25" t="s">
        <v>33</v>
      </c>
      <c r="B25" s="10">
        <v>94.142222222222216</v>
      </c>
      <c r="C25">
        <v>49</v>
      </c>
      <c r="D25" s="10">
        <v>118.0290909090909</v>
      </c>
      <c r="E25">
        <v>67</v>
      </c>
    </row>
    <row r="26" spans="1:5" x14ac:dyDescent="0.3">
      <c r="A26" t="s">
        <v>27</v>
      </c>
      <c r="B26" s="10">
        <v>108.81916666666667</v>
      </c>
      <c r="C26">
        <v>56</v>
      </c>
      <c r="D26" s="10">
        <v>133.84</v>
      </c>
      <c r="E26">
        <v>61</v>
      </c>
    </row>
    <row r="31" spans="1:5" x14ac:dyDescent="0.3">
      <c r="A31" s="9" t="s">
        <v>123</v>
      </c>
      <c r="B31" s="9" t="s">
        <v>2</v>
      </c>
    </row>
    <row r="32" spans="1:5" x14ac:dyDescent="0.3">
      <c r="A32" s="9" t="s">
        <v>1</v>
      </c>
      <c r="B32" t="s">
        <v>25</v>
      </c>
      <c r="C32" t="s">
        <v>16</v>
      </c>
      <c r="D32" t="s">
        <v>33</v>
      </c>
      <c r="E32" t="s">
        <v>27</v>
      </c>
    </row>
    <row r="33" spans="1:5" x14ac:dyDescent="0.3">
      <c r="A33" t="s">
        <v>24</v>
      </c>
      <c r="B33">
        <v>53</v>
      </c>
      <c r="C33">
        <v>89</v>
      </c>
      <c r="D33">
        <v>49</v>
      </c>
      <c r="E33">
        <v>56</v>
      </c>
    </row>
    <row r="34" spans="1:5" x14ac:dyDescent="0.3">
      <c r="A34" t="s">
        <v>15</v>
      </c>
      <c r="B34">
        <v>49</v>
      </c>
      <c r="C34">
        <v>74</v>
      </c>
      <c r="D34">
        <v>67</v>
      </c>
      <c r="E34">
        <v>61</v>
      </c>
    </row>
    <row r="43" spans="1:5" x14ac:dyDescent="0.3">
      <c r="A43" s="9" t="s">
        <v>123</v>
      </c>
      <c r="B43" s="9" t="s">
        <v>2</v>
      </c>
    </row>
    <row r="44" spans="1:5" x14ac:dyDescent="0.3">
      <c r="A44" s="9" t="s">
        <v>128</v>
      </c>
      <c r="B44" t="s">
        <v>25</v>
      </c>
      <c r="C44" t="s">
        <v>16</v>
      </c>
      <c r="D44" t="s">
        <v>33</v>
      </c>
      <c r="E44" t="s">
        <v>27</v>
      </c>
    </row>
    <row r="45" spans="1:5" ht="17.399999999999999" customHeight="1" x14ac:dyDescent="0.3">
      <c r="A45" t="s">
        <v>130</v>
      </c>
      <c r="B45">
        <v>17</v>
      </c>
      <c r="C45">
        <v>34</v>
      </c>
      <c r="D45">
        <v>22</v>
      </c>
      <c r="E45">
        <v>13</v>
      </c>
    </row>
    <row r="46" spans="1:5" x14ac:dyDescent="0.3">
      <c r="A46" t="s">
        <v>131</v>
      </c>
      <c r="B46">
        <v>14</v>
      </c>
      <c r="C46">
        <v>16</v>
      </c>
      <c r="D46">
        <v>17</v>
      </c>
      <c r="E46">
        <v>8</v>
      </c>
    </row>
    <row r="47" spans="1:5" x14ac:dyDescent="0.3">
      <c r="A47" t="s">
        <v>132</v>
      </c>
      <c r="B47">
        <v>26</v>
      </c>
      <c r="C47">
        <v>26</v>
      </c>
      <c r="D47">
        <v>14</v>
      </c>
      <c r="E47">
        <v>19</v>
      </c>
    </row>
    <row r="48" spans="1:5" x14ac:dyDescent="0.3">
      <c r="A48" t="s">
        <v>133</v>
      </c>
      <c r="B48">
        <v>10</v>
      </c>
      <c r="C48">
        <v>21</v>
      </c>
      <c r="D48">
        <v>16</v>
      </c>
      <c r="E48">
        <v>44</v>
      </c>
    </row>
    <row r="49" spans="1:5" x14ac:dyDescent="0.3">
      <c r="A49" t="s">
        <v>134</v>
      </c>
      <c r="B49">
        <v>15</v>
      </c>
      <c r="C49">
        <v>22</v>
      </c>
      <c r="D49">
        <v>9</v>
      </c>
      <c r="E49">
        <v>21</v>
      </c>
    </row>
    <row r="50" spans="1:5" x14ac:dyDescent="0.3">
      <c r="A50" t="s">
        <v>135</v>
      </c>
      <c r="B50">
        <v>8</v>
      </c>
      <c r="C50">
        <v>28</v>
      </c>
      <c r="D50">
        <v>17</v>
      </c>
      <c r="E50">
        <v>5</v>
      </c>
    </row>
    <row r="51" spans="1:5" x14ac:dyDescent="0.3">
      <c r="A51" t="s">
        <v>129</v>
      </c>
      <c r="B51">
        <v>12</v>
      </c>
      <c r="C51">
        <v>16</v>
      </c>
      <c r="D51">
        <v>21</v>
      </c>
      <c r="E51">
        <v>7</v>
      </c>
    </row>
    <row r="89" spans="1:2" x14ac:dyDescent="0.3">
      <c r="A89" s="9" t="s">
        <v>128</v>
      </c>
      <c r="B89" t="s">
        <v>123</v>
      </c>
    </row>
    <row r="90" spans="1:2" x14ac:dyDescent="0.3">
      <c r="A90" t="s">
        <v>129</v>
      </c>
      <c r="B90">
        <v>56</v>
      </c>
    </row>
    <row r="91" spans="1:2" x14ac:dyDescent="0.3">
      <c r="A91" t="s">
        <v>130</v>
      </c>
      <c r="B91">
        <v>86</v>
      </c>
    </row>
    <row r="92" spans="1:2" x14ac:dyDescent="0.3">
      <c r="A92" t="s">
        <v>131</v>
      </c>
      <c r="B92">
        <v>55</v>
      </c>
    </row>
    <row r="93" spans="1:2" x14ac:dyDescent="0.3">
      <c r="A93" t="s">
        <v>132</v>
      </c>
      <c r="B93">
        <v>85</v>
      </c>
    </row>
    <row r="94" spans="1:2" x14ac:dyDescent="0.3">
      <c r="A94" t="s">
        <v>133</v>
      </c>
      <c r="B94">
        <v>91</v>
      </c>
    </row>
    <row r="95" spans="1:2" x14ac:dyDescent="0.3">
      <c r="A95" t="s">
        <v>134</v>
      </c>
      <c r="B95">
        <v>67</v>
      </c>
    </row>
    <row r="96" spans="1:2" x14ac:dyDescent="0.3">
      <c r="A96" t="s">
        <v>135</v>
      </c>
      <c r="B96">
        <v>58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AC3E-D471-4167-985D-B93120691EA8}">
  <dimension ref="A1:S101"/>
  <sheetViews>
    <sheetView showGridLines="0" topLeftCell="T1" zoomScale="55" zoomScaleNormal="55" workbookViewId="0">
      <selection activeCell="AL36" sqref="AL36"/>
    </sheetView>
  </sheetViews>
  <sheetFormatPr defaultRowHeight="14.4" x14ac:dyDescent="0.3"/>
  <cols>
    <col min="1" max="1" width="12.5546875" hidden="1" customWidth="1"/>
    <col min="2" max="2" width="14.88671875" hidden="1" customWidth="1"/>
    <col min="3" max="12" width="0" hidden="1" customWidth="1"/>
    <col min="13" max="13" width="29.6640625" hidden="1" customWidth="1"/>
    <col min="14" max="14" width="17.6640625" hidden="1" customWidth="1"/>
    <col min="15" max="15" width="0" hidden="1" customWidth="1"/>
    <col min="16" max="16" width="17" hidden="1" customWidth="1"/>
    <col min="17" max="17" width="16.33203125" hidden="1" customWidth="1"/>
    <col min="18" max="18" width="11.44140625" hidden="1" customWidth="1"/>
    <col min="19" max="19" width="13.77734375" hidden="1" customWidth="1"/>
    <col min="20" max="20" width="15.33203125" bestFit="1" customWidth="1"/>
  </cols>
  <sheetData>
    <row r="1" spans="1:19" x14ac:dyDescent="0.3">
      <c r="A1" s="4" t="s">
        <v>0</v>
      </c>
      <c r="B1" s="4" t="s">
        <v>128</v>
      </c>
      <c r="C1" s="4" t="s">
        <v>136</v>
      </c>
      <c r="D1" s="4" t="s">
        <v>1</v>
      </c>
      <c r="E1" s="4" t="s">
        <v>2</v>
      </c>
      <c r="F1" s="4" t="s">
        <v>3</v>
      </c>
      <c r="G1" s="4" t="s">
        <v>4</v>
      </c>
      <c r="H1" s="4" t="s">
        <v>5</v>
      </c>
      <c r="I1" s="4" t="s">
        <v>6</v>
      </c>
      <c r="J1" s="5" t="s">
        <v>7</v>
      </c>
      <c r="K1" s="5" t="s">
        <v>8</v>
      </c>
      <c r="L1" s="5" t="s">
        <v>9</v>
      </c>
      <c r="M1" s="5" t="s">
        <v>10</v>
      </c>
      <c r="N1" s="5" t="s">
        <v>11</v>
      </c>
      <c r="O1" s="4" t="s">
        <v>12</v>
      </c>
      <c r="P1" s="6" t="s">
        <v>13</v>
      </c>
      <c r="Q1" s="8" t="s">
        <v>118</v>
      </c>
      <c r="R1" s="9" t="s">
        <v>139</v>
      </c>
      <c r="S1" t="s">
        <v>124</v>
      </c>
    </row>
    <row r="2" spans="1:19" x14ac:dyDescent="0.3">
      <c r="A2" s="2" t="s">
        <v>34</v>
      </c>
      <c r="B2" s="2" t="str">
        <f t="shared" ref="B2:B33" si="0">TEXT(DAY(A2),"dddd")</f>
        <v>Monday</v>
      </c>
      <c r="C2" s="2" cm="1">
        <f t="array" ref="C2">_xlfn.IFS(B2="Monday",1,B2="Tuesday",2,B2="Wednesday",3,B2="Thursday",4,B2="Friday",5,B2="Saturday",6,B2="Sunday",7)</f>
        <v>1</v>
      </c>
      <c r="D2" s="2" t="s">
        <v>15</v>
      </c>
      <c r="E2" s="2" t="s">
        <v>25</v>
      </c>
      <c r="F2" s="2" t="s">
        <v>28</v>
      </c>
      <c r="G2" s="2" t="s">
        <v>35</v>
      </c>
      <c r="H2" s="2" t="s">
        <v>30</v>
      </c>
      <c r="I2" s="2">
        <v>5</v>
      </c>
      <c r="J2" s="3">
        <v>29.3</v>
      </c>
      <c r="K2" s="3">
        <v>48</v>
      </c>
      <c r="L2" s="3">
        <v>146.5</v>
      </c>
      <c r="M2" s="3">
        <v>240</v>
      </c>
      <c r="N2" s="3">
        <v>93.5</v>
      </c>
      <c r="O2" s="2">
        <v>10</v>
      </c>
      <c r="P2" s="7">
        <v>5</v>
      </c>
      <c r="Q2" s="3">
        <f t="shared" ref="Q2:Q33" si="1">N2/I2</f>
        <v>18.7</v>
      </c>
      <c r="R2" s="1" t="s">
        <v>137</v>
      </c>
      <c r="S2">
        <v>384</v>
      </c>
    </row>
    <row r="3" spans="1:19" x14ac:dyDescent="0.3">
      <c r="A3" s="2" t="s">
        <v>77</v>
      </c>
      <c r="B3" s="2" t="str">
        <f t="shared" si="0"/>
        <v>Monday</v>
      </c>
      <c r="C3" s="2" cm="1">
        <f t="array" ref="C3">_xlfn.IFS(B3="Monday",1,B3="Tuesday",2,B3="Wednesday",3,B3="Thursday",4,B3="Friday",5,B3="Saturday",6,B3="Sunday",7)</f>
        <v>1</v>
      </c>
      <c r="D3" s="2" t="s">
        <v>24</v>
      </c>
      <c r="E3" s="2" t="s">
        <v>25</v>
      </c>
      <c r="F3" s="2" t="s">
        <v>28</v>
      </c>
      <c r="G3" s="2" t="s">
        <v>35</v>
      </c>
      <c r="H3" s="2" t="s">
        <v>30</v>
      </c>
      <c r="I3" s="2">
        <v>1</v>
      </c>
      <c r="J3" s="3">
        <v>30.08</v>
      </c>
      <c r="K3" s="3">
        <v>53.81</v>
      </c>
      <c r="L3" s="3">
        <v>30.08</v>
      </c>
      <c r="M3" s="3">
        <v>53.81</v>
      </c>
      <c r="N3" s="3">
        <v>23.73</v>
      </c>
      <c r="O3" s="2">
        <v>10</v>
      </c>
      <c r="P3" s="7">
        <v>5</v>
      </c>
      <c r="Q3" s="3">
        <f t="shared" si="1"/>
        <v>23.73</v>
      </c>
      <c r="R3" s="1" t="s">
        <v>138</v>
      </c>
      <c r="S3">
        <v>114</v>
      </c>
    </row>
    <row r="4" spans="1:19" x14ac:dyDescent="0.3">
      <c r="A4" s="2" t="s">
        <v>31</v>
      </c>
      <c r="B4" s="2" t="str">
        <f t="shared" si="0"/>
        <v>Monday</v>
      </c>
      <c r="C4" s="2" cm="1">
        <f t="array" ref="C4">_xlfn.IFS(B4="Monday",1,B4="Tuesday",2,B4="Wednesday",3,B4="Thursday",4,B4="Friday",5,B4="Saturday",6,B4="Sunday",7)</f>
        <v>1</v>
      </c>
      <c r="D4" s="2" t="s">
        <v>15</v>
      </c>
      <c r="E4" s="2" t="s">
        <v>16</v>
      </c>
      <c r="F4" s="2" t="s">
        <v>21</v>
      </c>
      <c r="G4" s="2" t="s">
        <v>22</v>
      </c>
      <c r="H4" s="2" t="s">
        <v>19</v>
      </c>
      <c r="I4" s="2">
        <v>5</v>
      </c>
      <c r="J4" s="3">
        <v>56.86</v>
      </c>
      <c r="K4" s="3">
        <v>92.72</v>
      </c>
      <c r="L4" s="3">
        <v>284.3</v>
      </c>
      <c r="M4" s="3">
        <v>463.6</v>
      </c>
      <c r="N4" s="3">
        <v>179.3</v>
      </c>
      <c r="O4" s="2">
        <v>1</v>
      </c>
      <c r="P4" s="7">
        <v>4</v>
      </c>
      <c r="Q4" s="3">
        <f t="shared" si="1"/>
        <v>35.86</v>
      </c>
      <c r="R4" s="1" t="s">
        <v>119</v>
      </c>
      <c r="S4">
        <v>498</v>
      </c>
    </row>
    <row r="5" spans="1:19" x14ac:dyDescent="0.3">
      <c r="A5" s="2" t="s">
        <v>62</v>
      </c>
      <c r="B5" s="2" t="str">
        <f t="shared" si="0"/>
        <v>Monday</v>
      </c>
      <c r="C5" s="2" cm="1">
        <f t="array" ref="C5">_xlfn.IFS(B5="Monday",1,B5="Tuesday",2,B5="Wednesday",3,B5="Thursday",4,B5="Friday",5,B5="Saturday",6,B5="Sunday",7)</f>
        <v>1</v>
      </c>
      <c r="D5" s="2" t="s">
        <v>15</v>
      </c>
      <c r="E5" s="2" t="s">
        <v>16</v>
      </c>
      <c r="F5" s="2" t="s">
        <v>17</v>
      </c>
      <c r="G5" s="2" t="s">
        <v>43</v>
      </c>
      <c r="H5" s="2" t="s">
        <v>19</v>
      </c>
      <c r="I5" s="2">
        <v>4</v>
      </c>
      <c r="J5" s="3">
        <v>97.03</v>
      </c>
      <c r="K5" s="3">
        <v>161.38999999999999</v>
      </c>
      <c r="L5" s="3">
        <v>388.12</v>
      </c>
      <c r="M5" s="3">
        <v>645.55999999999995</v>
      </c>
      <c r="N5" s="3">
        <v>257.44</v>
      </c>
      <c r="O5" s="2">
        <v>3</v>
      </c>
      <c r="P5" s="7">
        <v>3</v>
      </c>
      <c r="Q5" s="3">
        <f t="shared" si="1"/>
        <v>64.36</v>
      </c>
    </row>
    <row r="6" spans="1:19" x14ac:dyDescent="0.3">
      <c r="A6" s="2" t="s">
        <v>48</v>
      </c>
      <c r="B6" s="2" t="str">
        <f t="shared" si="0"/>
        <v>Monday</v>
      </c>
      <c r="C6" s="2" cm="1">
        <f t="array" ref="C6">_xlfn.IFS(B6="Monday",1,B6="Tuesday",2,B6="Wednesday",3,B6="Thursday",4,B6="Friday",5,B6="Saturday",6,B6="Sunday",7)</f>
        <v>1</v>
      </c>
      <c r="D6" s="2" t="s">
        <v>15</v>
      </c>
      <c r="E6" s="2" t="s">
        <v>25</v>
      </c>
      <c r="F6" s="2" t="s">
        <v>17</v>
      </c>
      <c r="G6" s="2" t="s">
        <v>49</v>
      </c>
      <c r="H6" s="2" t="s">
        <v>37</v>
      </c>
      <c r="I6" s="2">
        <v>5</v>
      </c>
      <c r="J6" s="3">
        <v>90.12</v>
      </c>
      <c r="K6" s="3">
        <v>134.31</v>
      </c>
      <c r="L6" s="3">
        <v>450.6</v>
      </c>
      <c r="M6" s="3">
        <v>671.55</v>
      </c>
      <c r="N6" s="3">
        <v>220.95</v>
      </c>
      <c r="O6" s="2">
        <v>2</v>
      </c>
      <c r="P6" s="7">
        <v>3</v>
      </c>
      <c r="Q6" s="3">
        <f t="shared" si="1"/>
        <v>44.19</v>
      </c>
    </row>
    <row r="7" spans="1:19" x14ac:dyDescent="0.3">
      <c r="A7" s="2" t="s">
        <v>47</v>
      </c>
      <c r="B7" s="2" t="str">
        <f t="shared" si="0"/>
        <v>Monday</v>
      </c>
      <c r="C7" s="2" cm="1">
        <f t="array" ref="C7">_xlfn.IFS(B7="Monday",1,B7="Tuesday",2,B7="Wednesday",3,B7="Thursday",4,B7="Friday",5,B7="Saturday",6,B7="Sunday",7)</f>
        <v>1</v>
      </c>
      <c r="D7" s="2" t="s">
        <v>24</v>
      </c>
      <c r="E7" s="2" t="s">
        <v>27</v>
      </c>
      <c r="F7" s="2" t="s">
        <v>17</v>
      </c>
      <c r="G7" s="2" t="s">
        <v>18</v>
      </c>
      <c r="H7" s="2" t="s">
        <v>37</v>
      </c>
      <c r="I7" s="2">
        <v>2</v>
      </c>
      <c r="J7" s="3">
        <v>109.74</v>
      </c>
      <c r="K7" s="3">
        <v>190.76</v>
      </c>
      <c r="L7" s="3">
        <v>219.48</v>
      </c>
      <c r="M7" s="3">
        <v>381.52</v>
      </c>
      <c r="N7" s="3">
        <v>162.04</v>
      </c>
      <c r="O7" s="2">
        <v>1</v>
      </c>
      <c r="P7" s="7">
        <v>4</v>
      </c>
      <c r="Q7" s="3">
        <f t="shared" si="1"/>
        <v>81.02</v>
      </c>
    </row>
    <row r="8" spans="1:19" x14ac:dyDescent="0.3">
      <c r="A8" s="2" t="s">
        <v>47</v>
      </c>
      <c r="B8" s="2" t="str">
        <f t="shared" si="0"/>
        <v>Monday</v>
      </c>
      <c r="C8" s="2" cm="1">
        <f t="array" ref="C8">_xlfn.IFS(B8="Monday",1,B8="Tuesday",2,B8="Wednesday",3,B8="Thursday",4,B8="Friday",5,B8="Saturday",6,B8="Sunday",7)</f>
        <v>1</v>
      </c>
      <c r="D8" s="2" t="s">
        <v>15</v>
      </c>
      <c r="E8" s="2" t="s">
        <v>33</v>
      </c>
      <c r="F8" s="2" t="s">
        <v>21</v>
      </c>
      <c r="G8" s="2" t="s">
        <v>60</v>
      </c>
      <c r="H8" s="2" t="s">
        <v>19</v>
      </c>
      <c r="I8" s="2">
        <v>6</v>
      </c>
      <c r="J8" s="3">
        <v>100.23</v>
      </c>
      <c r="K8" s="3">
        <v>151.04</v>
      </c>
      <c r="L8" s="3">
        <v>601.38</v>
      </c>
      <c r="M8" s="3">
        <v>906.24</v>
      </c>
      <c r="N8" s="3">
        <v>304.86</v>
      </c>
      <c r="O8" s="2">
        <v>4</v>
      </c>
      <c r="P8" s="7">
        <v>1</v>
      </c>
      <c r="Q8" s="3">
        <f t="shared" si="1"/>
        <v>50.81</v>
      </c>
    </row>
    <row r="9" spans="1:19" x14ac:dyDescent="0.3">
      <c r="A9" s="2" t="s">
        <v>59</v>
      </c>
      <c r="B9" s="2" t="str">
        <f t="shared" si="0"/>
        <v>Monday</v>
      </c>
      <c r="C9" s="2" cm="1">
        <f t="array" ref="C9">_xlfn.IFS(B9="Monday",1,B9="Tuesday",2,B9="Wednesday",3,B9="Thursday",4,B9="Friday",5,B9="Saturday",6,B9="Sunday",7)</f>
        <v>1</v>
      </c>
      <c r="D9" s="2" t="s">
        <v>15</v>
      </c>
      <c r="E9" s="2" t="s">
        <v>16</v>
      </c>
      <c r="F9" s="2" t="s">
        <v>21</v>
      </c>
      <c r="G9" s="2" t="s">
        <v>60</v>
      </c>
      <c r="H9" s="2" t="s">
        <v>30</v>
      </c>
      <c r="I9" s="2">
        <v>8</v>
      </c>
      <c r="J9" s="3">
        <v>78.75</v>
      </c>
      <c r="K9" s="3">
        <v>132.72</v>
      </c>
      <c r="L9" s="3">
        <v>630</v>
      </c>
      <c r="M9" s="3">
        <v>1061.76</v>
      </c>
      <c r="N9" s="3">
        <v>431.76</v>
      </c>
      <c r="O9" s="2">
        <v>7</v>
      </c>
      <c r="P9" s="7">
        <v>3</v>
      </c>
      <c r="Q9" s="3">
        <f t="shared" si="1"/>
        <v>53.97</v>
      </c>
    </row>
    <row r="10" spans="1:19" x14ac:dyDescent="0.3">
      <c r="A10" s="2" t="s">
        <v>106</v>
      </c>
      <c r="B10" s="2" t="str">
        <f t="shared" si="0"/>
        <v>Monday</v>
      </c>
      <c r="C10" s="2" cm="1">
        <f t="array" ref="C10">_xlfn.IFS(B10="Monday",1,B10="Tuesday",2,B10="Wednesday",3,B10="Thursday",4,B10="Friday",5,B10="Saturday",6,B10="Sunday",7)</f>
        <v>1</v>
      </c>
      <c r="D10" s="2" t="s">
        <v>15</v>
      </c>
      <c r="E10" s="2" t="s">
        <v>27</v>
      </c>
      <c r="F10" s="2" t="s">
        <v>21</v>
      </c>
      <c r="G10" s="2" t="s">
        <v>60</v>
      </c>
      <c r="H10" s="2" t="s">
        <v>19</v>
      </c>
      <c r="I10" s="2">
        <v>2</v>
      </c>
      <c r="J10" s="3">
        <v>86.69</v>
      </c>
      <c r="K10" s="3">
        <v>136.69</v>
      </c>
      <c r="L10" s="3">
        <v>173.38</v>
      </c>
      <c r="M10" s="3">
        <v>273.38</v>
      </c>
      <c r="N10" s="3">
        <v>100</v>
      </c>
      <c r="O10" s="2">
        <v>2</v>
      </c>
      <c r="P10" s="7">
        <v>2</v>
      </c>
      <c r="Q10" s="3">
        <f t="shared" si="1"/>
        <v>50</v>
      </c>
    </row>
    <row r="11" spans="1:19" x14ac:dyDescent="0.3">
      <c r="A11" s="2" t="s">
        <v>104</v>
      </c>
      <c r="B11" s="2" t="str">
        <f t="shared" si="0"/>
        <v>Monday</v>
      </c>
      <c r="C11" s="2" cm="1">
        <f t="array" ref="C11">_xlfn.IFS(B11="Monday",1,B11="Tuesday",2,B11="Wednesday",3,B11="Thursday",4,B11="Friday",5,B11="Saturday",6,B11="Sunday",7)</f>
        <v>1</v>
      </c>
      <c r="D11" s="2" t="s">
        <v>24</v>
      </c>
      <c r="E11" s="2" t="s">
        <v>33</v>
      </c>
      <c r="F11" s="2" t="s">
        <v>21</v>
      </c>
      <c r="G11" s="2" t="s">
        <v>60</v>
      </c>
      <c r="H11" s="2" t="s">
        <v>37</v>
      </c>
      <c r="I11" s="2">
        <v>8</v>
      </c>
      <c r="J11" s="3">
        <v>65.86</v>
      </c>
      <c r="K11" s="3">
        <v>109.38</v>
      </c>
      <c r="L11" s="3">
        <v>526.88</v>
      </c>
      <c r="M11" s="3">
        <v>875.04</v>
      </c>
      <c r="N11" s="3">
        <v>348.16</v>
      </c>
      <c r="O11" s="2">
        <v>3</v>
      </c>
      <c r="P11" s="7">
        <v>2</v>
      </c>
      <c r="Q11" s="3">
        <f t="shared" si="1"/>
        <v>43.52</v>
      </c>
    </row>
    <row r="12" spans="1:19" x14ac:dyDescent="0.3">
      <c r="A12" s="2" t="s">
        <v>72</v>
      </c>
      <c r="B12" s="2" t="str">
        <f t="shared" si="0"/>
        <v>Monday</v>
      </c>
      <c r="C12" s="2" cm="1">
        <f t="array" ref="C12">_xlfn.IFS(B12="Monday",1,B12="Tuesday",2,B12="Wednesday",3,B12="Thursday",4,B12="Friday",5,B12="Saturday",6,B12="Sunday",7)</f>
        <v>1</v>
      </c>
      <c r="D12" s="2" t="s">
        <v>15</v>
      </c>
      <c r="E12" s="2" t="s">
        <v>25</v>
      </c>
      <c r="F12" s="2" t="s">
        <v>28</v>
      </c>
      <c r="G12" s="2" t="s">
        <v>29</v>
      </c>
      <c r="H12" s="2" t="s">
        <v>19</v>
      </c>
      <c r="I12" s="2">
        <v>6</v>
      </c>
      <c r="J12" s="3">
        <v>60.64</v>
      </c>
      <c r="K12" s="3">
        <v>83.46</v>
      </c>
      <c r="L12" s="3">
        <v>363.84</v>
      </c>
      <c r="M12" s="3">
        <v>500.76</v>
      </c>
      <c r="N12" s="3">
        <v>136.91999999999999</v>
      </c>
      <c r="O12" s="2">
        <v>2</v>
      </c>
      <c r="P12" s="7">
        <v>1</v>
      </c>
      <c r="Q12" s="3">
        <f t="shared" si="1"/>
        <v>22.819999999999997</v>
      </c>
    </row>
    <row r="13" spans="1:19" x14ac:dyDescent="0.3">
      <c r="A13" s="2" t="s">
        <v>72</v>
      </c>
      <c r="B13" s="2" t="str">
        <f t="shared" si="0"/>
        <v>Monday</v>
      </c>
      <c r="C13" s="2" cm="1">
        <f t="array" ref="C13">_xlfn.IFS(B13="Monday",1,B13="Tuesday",2,B13="Wednesday",3,B13="Thursday",4,B13="Friday",5,B13="Saturday",6,B13="Sunday",7)</f>
        <v>1</v>
      </c>
      <c r="D13" s="2" t="s">
        <v>15</v>
      </c>
      <c r="E13" s="2" t="s">
        <v>16</v>
      </c>
      <c r="F13" s="2" t="s">
        <v>17</v>
      </c>
      <c r="G13" s="2" t="s">
        <v>43</v>
      </c>
      <c r="H13" s="2" t="s">
        <v>30</v>
      </c>
      <c r="I13" s="2">
        <v>5</v>
      </c>
      <c r="J13" s="3">
        <v>71.47</v>
      </c>
      <c r="K13" s="3">
        <v>120.99</v>
      </c>
      <c r="L13" s="3">
        <v>357.35</v>
      </c>
      <c r="M13" s="3">
        <v>604.95000000000005</v>
      </c>
      <c r="N13" s="3">
        <v>247.6</v>
      </c>
      <c r="O13" s="2">
        <v>9</v>
      </c>
      <c r="P13" s="7">
        <v>3</v>
      </c>
      <c r="Q13" s="3">
        <f t="shared" si="1"/>
        <v>49.519999999999996</v>
      </c>
    </row>
    <row r="14" spans="1:19" x14ac:dyDescent="0.3">
      <c r="A14" s="2" t="s">
        <v>44</v>
      </c>
      <c r="B14" s="2" t="str">
        <f t="shared" si="0"/>
        <v>Monday</v>
      </c>
      <c r="C14" s="2" cm="1">
        <f t="array" ref="C14">_xlfn.IFS(B14="Monday",1,B14="Tuesday",2,B14="Wednesday",3,B14="Thursday",4,B14="Friday",5,B14="Saturday",6,B14="Sunday",7)</f>
        <v>1</v>
      </c>
      <c r="D14" s="2" t="s">
        <v>15</v>
      </c>
      <c r="E14" s="2" t="s">
        <v>16</v>
      </c>
      <c r="F14" s="2" t="s">
        <v>28</v>
      </c>
      <c r="G14" s="2" t="s">
        <v>29</v>
      </c>
      <c r="H14" s="2" t="s">
        <v>30</v>
      </c>
      <c r="I14" s="2">
        <v>5</v>
      </c>
      <c r="J14" s="3">
        <v>55.17</v>
      </c>
      <c r="K14" s="3">
        <v>91.32</v>
      </c>
      <c r="L14" s="3">
        <v>275.85000000000002</v>
      </c>
      <c r="M14" s="3">
        <v>456.6</v>
      </c>
      <c r="N14" s="3">
        <v>180.75</v>
      </c>
      <c r="O14" s="2">
        <v>8</v>
      </c>
      <c r="P14" s="7">
        <v>4</v>
      </c>
      <c r="Q14" s="3">
        <f t="shared" si="1"/>
        <v>36.15</v>
      </c>
    </row>
    <row r="15" spans="1:19" x14ac:dyDescent="0.3">
      <c r="A15" s="2" t="s">
        <v>58</v>
      </c>
      <c r="B15" s="2" t="str">
        <f t="shared" si="0"/>
        <v>Monday</v>
      </c>
      <c r="C15" s="2" cm="1">
        <f t="array" ref="C15">_xlfn.IFS(B15="Monday",1,B15="Tuesday",2,B15="Wednesday",3,B15="Thursday",4,B15="Friday",5,B15="Saturday",6,B15="Sunday",7)</f>
        <v>1</v>
      </c>
      <c r="D15" s="2" t="s">
        <v>15</v>
      </c>
      <c r="E15" s="2" t="s">
        <v>33</v>
      </c>
      <c r="F15" s="2" t="s">
        <v>17</v>
      </c>
      <c r="G15" s="2" t="s">
        <v>49</v>
      </c>
      <c r="H15" s="2" t="s">
        <v>37</v>
      </c>
      <c r="I15" s="2">
        <v>8</v>
      </c>
      <c r="J15" s="3">
        <v>25.26</v>
      </c>
      <c r="K15" s="3">
        <v>42.86</v>
      </c>
      <c r="L15" s="3">
        <v>202.08</v>
      </c>
      <c r="M15" s="3">
        <v>342.88</v>
      </c>
      <c r="N15" s="3">
        <v>140.80000000000001</v>
      </c>
      <c r="O15" s="2">
        <v>3</v>
      </c>
      <c r="P15" s="7">
        <v>3</v>
      </c>
      <c r="Q15" s="3">
        <f t="shared" si="1"/>
        <v>17.600000000000001</v>
      </c>
    </row>
    <row r="16" spans="1:19" x14ac:dyDescent="0.3">
      <c r="A16" s="2" t="s">
        <v>42</v>
      </c>
      <c r="B16" s="2" t="str">
        <f t="shared" si="0"/>
        <v>Monday</v>
      </c>
      <c r="C16" s="2" cm="1">
        <f t="array" ref="C16">_xlfn.IFS(B16="Monday",1,B16="Tuesday",2,B16="Wednesday",3,B16="Thursday",4,B16="Friday",5,B16="Saturday",6,B16="Sunday",7)</f>
        <v>1</v>
      </c>
      <c r="D16" s="2" t="s">
        <v>24</v>
      </c>
      <c r="E16" s="2" t="s">
        <v>16</v>
      </c>
      <c r="F16" s="2" t="s">
        <v>17</v>
      </c>
      <c r="G16" s="2" t="s">
        <v>43</v>
      </c>
      <c r="H16" s="2" t="s">
        <v>19</v>
      </c>
      <c r="I16" s="2">
        <v>7</v>
      </c>
      <c r="J16" s="3">
        <v>95.92</v>
      </c>
      <c r="K16" s="3">
        <v>166.26</v>
      </c>
      <c r="L16" s="3">
        <v>671.44</v>
      </c>
      <c r="M16" s="3">
        <v>1163.82</v>
      </c>
      <c r="N16" s="3">
        <v>492.38</v>
      </c>
      <c r="O16" s="2">
        <v>4</v>
      </c>
      <c r="P16" s="7">
        <v>5</v>
      </c>
      <c r="Q16" s="3">
        <f t="shared" si="1"/>
        <v>70.34</v>
      </c>
    </row>
    <row r="17" spans="1:17" x14ac:dyDescent="0.3">
      <c r="A17" s="2" t="s">
        <v>63</v>
      </c>
      <c r="B17" s="2" t="str">
        <f t="shared" si="0"/>
        <v>Monday</v>
      </c>
      <c r="C17" s="2" cm="1">
        <f t="array" ref="C17">_xlfn.IFS(B17="Monday",1,B17="Tuesday",2,B17="Wednesday",3,B17="Thursday",4,B17="Friday",5,B17="Saturday",6,B17="Sunday",7)</f>
        <v>1</v>
      </c>
      <c r="D17" s="2" t="s">
        <v>24</v>
      </c>
      <c r="E17" s="2" t="s">
        <v>27</v>
      </c>
      <c r="F17" s="2" t="s">
        <v>17</v>
      </c>
      <c r="G17" s="2" t="s">
        <v>18</v>
      </c>
      <c r="H17" s="2" t="s">
        <v>37</v>
      </c>
      <c r="I17" s="2">
        <v>9</v>
      </c>
      <c r="J17" s="3">
        <v>64.83</v>
      </c>
      <c r="K17" s="3">
        <v>103.26</v>
      </c>
      <c r="L17" s="3">
        <v>583.47</v>
      </c>
      <c r="M17" s="3">
        <v>929.34</v>
      </c>
      <c r="N17" s="3">
        <v>345.87</v>
      </c>
      <c r="O17" s="2">
        <v>3</v>
      </c>
      <c r="P17" s="7">
        <v>4</v>
      </c>
      <c r="Q17" s="3">
        <f t="shared" si="1"/>
        <v>38.43</v>
      </c>
    </row>
    <row r="18" spans="1:17" x14ac:dyDescent="0.3">
      <c r="A18" s="2" t="s">
        <v>99</v>
      </c>
      <c r="B18" s="2" t="str">
        <f t="shared" si="0"/>
        <v>Tuesday</v>
      </c>
      <c r="C18" s="2" cm="1">
        <f t="array" ref="C18">_xlfn.IFS(B18="Monday",1,B18="Tuesday",2,B18="Wednesday",3,B18="Thursday",4,B18="Friday",5,B18="Saturday",6,B18="Sunday",7)</f>
        <v>2</v>
      </c>
      <c r="D18" s="2" t="s">
        <v>15</v>
      </c>
      <c r="E18" s="2" t="s">
        <v>33</v>
      </c>
      <c r="F18" s="2" t="s">
        <v>17</v>
      </c>
      <c r="G18" s="2" t="s">
        <v>43</v>
      </c>
      <c r="H18" s="2" t="s">
        <v>19</v>
      </c>
      <c r="I18" s="2">
        <v>8</v>
      </c>
      <c r="J18" s="3">
        <v>97.06</v>
      </c>
      <c r="K18" s="3">
        <v>174.65</v>
      </c>
      <c r="L18" s="3">
        <v>776.48</v>
      </c>
      <c r="M18" s="3">
        <v>1397.2</v>
      </c>
      <c r="N18" s="3">
        <v>620.72</v>
      </c>
      <c r="O18" s="2">
        <v>5</v>
      </c>
      <c r="P18" s="7">
        <v>1</v>
      </c>
      <c r="Q18" s="3">
        <f t="shared" si="1"/>
        <v>77.59</v>
      </c>
    </row>
    <row r="19" spans="1:17" x14ac:dyDescent="0.3">
      <c r="A19" s="2" t="s">
        <v>101</v>
      </c>
      <c r="B19" s="2" t="str">
        <f t="shared" si="0"/>
        <v>Tuesday</v>
      </c>
      <c r="C19" s="2" cm="1">
        <f t="array" ref="C19">_xlfn.IFS(B19="Monday",1,B19="Tuesday",2,B19="Wednesday",3,B19="Thursday",4,B19="Friday",5,B19="Saturday",6,B19="Sunday",7)</f>
        <v>2</v>
      </c>
      <c r="D19" s="2" t="s">
        <v>24</v>
      </c>
      <c r="E19" s="2" t="s">
        <v>25</v>
      </c>
      <c r="F19" s="2" t="s">
        <v>17</v>
      </c>
      <c r="G19" s="2" t="s">
        <v>43</v>
      </c>
      <c r="H19" s="2" t="s">
        <v>37</v>
      </c>
      <c r="I19" s="2">
        <v>10</v>
      </c>
      <c r="J19" s="3">
        <v>97.75</v>
      </c>
      <c r="K19" s="3">
        <v>152.79</v>
      </c>
      <c r="L19" s="3">
        <v>977.5</v>
      </c>
      <c r="M19" s="3">
        <v>1527.9</v>
      </c>
      <c r="N19" s="3">
        <v>550.4</v>
      </c>
      <c r="O19" s="2">
        <v>5</v>
      </c>
      <c r="P19" s="7">
        <v>5</v>
      </c>
      <c r="Q19" s="3">
        <f t="shared" si="1"/>
        <v>55.04</v>
      </c>
    </row>
    <row r="20" spans="1:17" x14ac:dyDescent="0.3">
      <c r="A20" s="2" t="s">
        <v>85</v>
      </c>
      <c r="B20" s="2" t="str">
        <f t="shared" si="0"/>
        <v>Tuesday</v>
      </c>
      <c r="C20" s="2" cm="1">
        <f t="array" ref="C20">_xlfn.IFS(B20="Monday",1,B20="Tuesday",2,B20="Wednesday",3,B20="Thursday",4,B20="Friday",5,B20="Saturday",6,B20="Sunday",7)</f>
        <v>2</v>
      </c>
      <c r="D20" s="2" t="s">
        <v>24</v>
      </c>
      <c r="E20" s="2" t="s">
        <v>33</v>
      </c>
      <c r="F20" s="2" t="s">
        <v>21</v>
      </c>
      <c r="G20" s="2" t="s">
        <v>39</v>
      </c>
      <c r="H20" s="2" t="s">
        <v>37</v>
      </c>
      <c r="I20" s="2">
        <v>3</v>
      </c>
      <c r="J20" s="3">
        <v>32.25</v>
      </c>
      <c r="K20" s="3">
        <v>53.94</v>
      </c>
      <c r="L20" s="3">
        <v>96.75</v>
      </c>
      <c r="M20" s="3">
        <v>161.82</v>
      </c>
      <c r="N20" s="3">
        <v>65.069999999999993</v>
      </c>
      <c r="O20" s="2">
        <v>3</v>
      </c>
      <c r="P20" s="7">
        <v>4</v>
      </c>
      <c r="Q20" s="3">
        <f t="shared" si="1"/>
        <v>21.689999999999998</v>
      </c>
    </row>
    <row r="21" spans="1:17" x14ac:dyDescent="0.3">
      <c r="A21" s="2" t="s">
        <v>54</v>
      </c>
      <c r="B21" s="2" t="str">
        <f t="shared" si="0"/>
        <v>Tuesday</v>
      </c>
      <c r="C21" s="2" cm="1">
        <f t="array" ref="C21">_xlfn.IFS(B21="Monday",1,B21="Tuesday",2,B21="Wednesday",3,B21="Thursday",4,B21="Friday",5,B21="Saturday",6,B21="Sunday",7)</f>
        <v>2</v>
      </c>
      <c r="D21" s="2" t="s">
        <v>15</v>
      </c>
      <c r="E21" s="2" t="s">
        <v>16</v>
      </c>
      <c r="F21" s="2" t="s">
        <v>28</v>
      </c>
      <c r="G21" s="2" t="s">
        <v>35</v>
      </c>
      <c r="H21" s="2" t="s">
        <v>37</v>
      </c>
      <c r="I21" s="2">
        <v>7</v>
      </c>
      <c r="J21" s="3">
        <v>76.7</v>
      </c>
      <c r="K21" s="3">
        <v>134.41999999999999</v>
      </c>
      <c r="L21" s="3">
        <v>536.9</v>
      </c>
      <c r="M21" s="3">
        <v>940.94</v>
      </c>
      <c r="N21" s="3">
        <v>404.04</v>
      </c>
      <c r="O21" s="2">
        <v>4</v>
      </c>
      <c r="P21" s="7">
        <v>4</v>
      </c>
      <c r="Q21" s="3">
        <f t="shared" si="1"/>
        <v>57.720000000000006</v>
      </c>
    </row>
    <row r="22" spans="1:17" x14ac:dyDescent="0.3">
      <c r="A22" s="2" t="s">
        <v>97</v>
      </c>
      <c r="B22" s="2" t="str">
        <f t="shared" si="0"/>
        <v>Tuesday</v>
      </c>
      <c r="C22" s="2" cm="1">
        <f t="array" ref="C22">_xlfn.IFS(B22="Monday",1,B22="Tuesday",2,B22="Wednesday",3,B22="Thursday",4,B22="Friday",5,B22="Saturday",6,B22="Sunday",7)</f>
        <v>2</v>
      </c>
      <c r="D22" s="2" t="s">
        <v>15</v>
      </c>
      <c r="E22" s="2" t="s">
        <v>16</v>
      </c>
      <c r="F22" s="2" t="s">
        <v>17</v>
      </c>
      <c r="G22" s="2" t="s">
        <v>43</v>
      </c>
      <c r="H22" s="2" t="s">
        <v>37</v>
      </c>
      <c r="I22" s="2">
        <v>1</v>
      </c>
      <c r="J22" s="3">
        <v>103.98</v>
      </c>
      <c r="K22" s="3">
        <v>155.63999999999999</v>
      </c>
      <c r="L22" s="3">
        <v>103.98</v>
      </c>
      <c r="M22" s="3">
        <v>155.63999999999999</v>
      </c>
      <c r="N22" s="3">
        <v>51.66</v>
      </c>
      <c r="O22" s="2">
        <v>5</v>
      </c>
      <c r="P22" s="7">
        <v>2</v>
      </c>
      <c r="Q22" s="3">
        <f t="shared" si="1"/>
        <v>51.66</v>
      </c>
    </row>
    <row r="23" spans="1:17" x14ac:dyDescent="0.3">
      <c r="A23" s="2" t="s">
        <v>78</v>
      </c>
      <c r="B23" s="2" t="str">
        <f t="shared" si="0"/>
        <v>Tuesday</v>
      </c>
      <c r="C23" s="2" cm="1">
        <f t="array" ref="C23">_xlfn.IFS(B23="Monday",1,B23="Tuesday",2,B23="Wednesday",3,B23="Thursday",4,B23="Friday",5,B23="Saturday",6,B23="Sunday",7)</f>
        <v>2</v>
      </c>
      <c r="D23" s="2" t="s">
        <v>15</v>
      </c>
      <c r="E23" s="2" t="s">
        <v>27</v>
      </c>
      <c r="F23" s="2" t="s">
        <v>21</v>
      </c>
      <c r="G23" s="2" t="s">
        <v>60</v>
      </c>
      <c r="H23" s="2" t="s">
        <v>30</v>
      </c>
      <c r="I23" s="2">
        <v>8</v>
      </c>
      <c r="J23" s="3">
        <v>91.99</v>
      </c>
      <c r="K23" s="3">
        <v>142.63999999999999</v>
      </c>
      <c r="L23" s="3">
        <v>735.92</v>
      </c>
      <c r="M23" s="3">
        <v>1141.1199999999999</v>
      </c>
      <c r="N23" s="3">
        <v>405.2</v>
      </c>
      <c r="O23" s="2">
        <v>6</v>
      </c>
      <c r="P23" s="7">
        <v>2</v>
      </c>
      <c r="Q23" s="3">
        <f t="shared" si="1"/>
        <v>50.65</v>
      </c>
    </row>
    <row r="24" spans="1:17" x14ac:dyDescent="0.3">
      <c r="A24" s="2" t="s">
        <v>36</v>
      </c>
      <c r="B24" s="2" t="str">
        <f t="shared" si="0"/>
        <v>Tuesday</v>
      </c>
      <c r="C24" s="2" cm="1">
        <f t="array" ref="C24">_xlfn.IFS(B24="Monday",1,B24="Tuesday",2,B24="Wednesday",3,B24="Thursday",4,B24="Friday",5,B24="Saturday",6,B24="Sunday",7)</f>
        <v>2</v>
      </c>
      <c r="D24" s="2" t="s">
        <v>24</v>
      </c>
      <c r="E24" s="2" t="s">
        <v>16</v>
      </c>
      <c r="F24" s="2" t="s">
        <v>17</v>
      </c>
      <c r="G24" s="2" t="s">
        <v>18</v>
      </c>
      <c r="H24" s="2" t="s">
        <v>37</v>
      </c>
      <c r="I24" s="2">
        <v>8</v>
      </c>
      <c r="J24" s="3">
        <v>64.19</v>
      </c>
      <c r="K24" s="3">
        <v>103.64</v>
      </c>
      <c r="L24" s="3">
        <v>513.52</v>
      </c>
      <c r="M24" s="3">
        <v>829.12</v>
      </c>
      <c r="N24" s="3">
        <v>315.60000000000002</v>
      </c>
      <c r="O24" s="2">
        <v>2</v>
      </c>
      <c r="P24" s="7">
        <v>5</v>
      </c>
      <c r="Q24" s="3">
        <f t="shared" si="1"/>
        <v>39.450000000000003</v>
      </c>
    </row>
    <row r="25" spans="1:17" x14ac:dyDescent="0.3">
      <c r="A25" s="2" t="s">
        <v>66</v>
      </c>
      <c r="B25" s="2" t="str">
        <f t="shared" si="0"/>
        <v>Tuesday</v>
      </c>
      <c r="C25" s="2" cm="1">
        <f t="array" ref="C25">_xlfn.IFS(B25="Monday",1,B25="Tuesday",2,B25="Wednesday",3,B25="Thursday",4,B25="Friday",5,B25="Saturday",6,B25="Sunday",7)</f>
        <v>2</v>
      </c>
      <c r="D25" s="2" t="s">
        <v>24</v>
      </c>
      <c r="E25" s="2" t="s">
        <v>33</v>
      </c>
      <c r="F25" s="2" t="s">
        <v>21</v>
      </c>
      <c r="G25" s="2" t="s">
        <v>22</v>
      </c>
      <c r="H25" s="2" t="s">
        <v>30</v>
      </c>
      <c r="I25" s="2">
        <v>6</v>
      </c>
      <c r="J25" s="3">
        <v>67.34</v>
      </c>
      <c r="K25" s="3">
        <v>115.92</v>
      </c>
      <c r="L25" s="3">
        <v>404.04</v>
      </c>
      <c r="M25" s="3">
        <v>695.52</v>
      </c>
      <c r="N25" s="3">
        <v>291.48</v>
      </c>
      <c r="O25" s="2">
        <v>6</v>
      </c>
      <c r="P25" s="7">
        <v>3</v>
      </c>
      <c r="Q25" s="3">
        <f t="shared" si="1"/>
        <v>48.580000000000005</v>
      </c>
    </row>
    <row r="26" spans="1:17" x14ac:dyDescent="0.3">
      <c r="A26" s="2" t="s">
        <v>66</v>
      </c>
      <c r="B26" s="2" t="str">
        <f t="shared" si="0"/>
        <v>Tuesday</v>
      </c>
      <c r="C26" s="2" cm="1">
        <f t="array" ref="C26">_xlfn.IFS(B26="Monday",1,B26="Tuesday",2,B26="Wednesday",3,B26="Thursday",4,B26="Friday",5,B26="Saturday",6,B26="Sunday",7)</f>
        <v>2</v>
      </c>
      <c r="D26" s="2" t="s">
        <v>24</v>
      </c>
      <c r="E26" s="2" t="s">
        <v>25</v>
      </c>
      <c r="F26" s="2" t="s">
        <v>17</v>
      </c>
      <c r="G26" s="2" t="s">
        <v>43</v>
      </c>
      <c r="H26" s="2" t="s">
        <v>37</v>
      </c>
      <c r="I26" s="2">
        <v>1</v>
      </c>
      <c r="J26" s="3">
        <v>62.7</v>
      </c>
      <c r="K26" s="3">
        <v>103.45</v>
      </c>
      <c r="L26" s="3">
        <v>62.7</v>
      </c>
      <c r="M26" s="3">
        <v>103.45</v>
      </c>
      <c r="N26" s="3">
        <v>40.75</v>
      </c>
      <c r="O26" s="2">
        <v>5</v>
      </c>
      <c r="P26" s="7">
        <v>5</v>
      </c>
      <c r="Q26" s="3">
        <f t="shared" si="1"/>
        <v>40.75</v>
      </c>
    </row>
    <row r="27" spans="1:17" x14ac:dyDescent="0.3">
      <c r="A27" s="2" t="s">
        <v>66</v>
      </c>
      <c r="B27" s="2" t="str">
        <f t="shared" si="0"/>
        <v>Tuesday</v>
      </c>
      <c r="C27" s="2" cm="1">
        <f t="array" ref="C27">_xlfn.IFS(B27="Monday",1,B27="Tuesday",2,B27="Wednesday",3,B27="Thursday",4,B27="Friday",5,B27="Saturday",6,B27="Sunday",7)</f>
        <v>2</v>
      </c>
      <c r="D27" s="2" t="s">
        <v>15</v>
      </c>
      <c r="E27" s="2" t="s">
        <v>25</v>
      </c>
      <c r="F27" s="2" t="s">
        <v>17</v>
      </c>
      <c r="G27" s="2" t="s">
        <v>18</v>
      </c>
      <c r="H27" s="2" t="s">
        <v>30</v>
      </c>
      <c r="I27" s="2">
        <v>3</v>
      </c>
      <c r="J27" s="3">
        <v>39.03</v>
      </c>
      <c r="K27" s="3">
        <v>64.77</v>
      </c>
      <c r="L27" s="3">
        <v>117.09</v>
      </c>
      <c r="M27" s="3">
        <v>194.31</v>
      </c>
      <c r="N27" s="3">
        <v>77.22</v>
      </c>
      <c r="O27" s="2">
        <v>9</v>
      </c>
      <c r="P27" s="7">
        <v>3</v>
      </c>
      <c r="Q27" s="3">
        <f t="shared" si="1"/>
        <v>25.74</v>
      </c>
    </row>
    <row r="28" spans="1:17" x14ac:dyDescent="0.3">
      <c r="A28" s="2" t="s">
        <v>105</v>
      </c>
      <c r="B28" s="2" t="str">
        <f t="shared" si="0"/>
        <v>Wednesday</v>
      </c>
      <c r="C28" s="2" cm="1">
        <f t="array" ref="C28">_xlfn.IFS(B28="Monday",1,B28="Tuesday",2,B28="Wednesday",3,B28="Thursday",4,B28="Friday",5,B28="Saturday",6,B28="Sunday",7)</f>
        <v>3</v>
      </c>
      <c r="D28" s="2" t="s">
        <v>15</v>
      </c>
      <c r="E28" s="2" t="s">
        <v>27</v>
      </c>
      <c r="F28" s="2" t="s">
        <v>28</v>
      </c>
      <c r="G28" s="2" t="s">
        <v>35</v>
      </c>
      <c r="H28" s="2" t="s">
        <v>37</v>
      </c>
      <c r="I28" s="2">
        <v>3</v>
      </c>
      <c r="J28" s="3">
        <v>74.790000000000006</v>
      </c>
      <c r="K28" s="3">
        <v>120.38</v>
      </c>
      <c r="L28" s="3">
        <v>224.37</v>
      </c>
      <c r="M28" s="3">
        <v>361.14</v>
      </c>
      <c r="N28" s="3">
        <v>136.77000000000001</v>
      </c>
      <c r="O28" s="2">
        <v>2</v>
      </c>
      <c r="P28" s="7">
        <v>1</v>
      </c>
      <c r="Q28" s="3">
        <f t="shared" si="1"/>
        <v>45.59</v>
      </c>
    </row>
    <row r="29" spans="1:17" x14ac:dyDescent="0.3">
      <c r="A29" s="2" t="s">
        <v>111</v>
      </c>
      <c r="B29" s="2" t="str">
        <f t="shared" si="0"/>
        <v>Wednesday</v>
      </c>
      <c r="C29" s="2" cm="1">
        <f t="array" ref="C29">_xlfn.IFS(B29="Monday",1,B29="Tuesday",2,B29="Wednesday",3,B29="Thursday",4,B29="Friday",5,B29="Saturday",6,B29="Sunday",7)</f>
        <v>3</v>
      </c>
      <c r="D29" s="2" t="s">
        <v>24</v>
      </c>
      <c r="E29" s="2" t="s">
        <v>33</v>
      </c>
      <c r="F29" s="2" t="s">
        <v>21</v>
      </c>
      <c r="G29" s="2" t="s">
        <v>39</v>
      </c>
      <c r="H29" s="2" t="s">
        <v>19</v>
      </c>
      <c r="I29" s="2">
        <v>9</v>
      </c>
      <c r="J29" s="3">
        <v>37.1</v>
      </c>
      <c r="K29" s="3">
        <v>50</v>
      </c>
      <c r="L29" s="3">
        <v>333.9</v>
      </c>
      <c r="M29" s="3">
        <v>450</v>
      </c>
      <c r="N29" s="3">
        <v>116.1</v>
      </c>
      <c r="O29" s="2">
        <v>4</v>
      </c>
      <c r="P29" s="7">
        <v>2</v>
      </c>
      <c r="Q29" s="3">
        <f t="shared" si="1"/>
        <v>12.899999999999999</v>
      </c>
    </row>
    <row r="30" spans="1:17" x14ac:dyDescent="0.3">
      <c r="A30" s="2" t="s">
        <v>79</v>
      </c>
      <c r="B30" s="2" t="str">
        <f t="shared" si="0"/>
        <v>Wednesday</v>
      </c>
      <c r="C30" s="2" cm="1">
        <f t="array" ref="C30">_xlfn.IFS(B30="Monday",1,B30="Tuesday",2,B30="Wednesday",3,B30="Thursday",4,B30="Friday",5,B30="Saturday",6,B30="Sunday",7)</f>
        <v>3</v>
      </c>
      <c r="D30" s="2" t="s">
        <v>24</v>
      </c>
      <c r="E30" s="2" t="s">
        <v>25</v>
      </c>
      <c r="F30" s="2" t="s">
        <v>17</v>
      </c>
      <c r="G30" s="2" t="s">
        <v>43</v>
      </c>
      <c r="H30" s="2" t="s">
        <v>37</v>
      </c>
      <c r="I30" s="2">
        <v>10</v>
      </c>
      <c r="J30" s="3">
        <v>24.51</v>
      </c>
      <c r="K30" s="3">
        <v>32.83</v>
      </c>
      <c r="L30" s="3">
        <v>245.1</v>
      </c>
      <c r="M30" s="3">
        <v>328.3</v>
      </c>
      <c r="N30" s="3">
        <v>83.2</v>
      </c>
      <c r="O30" s="2">
        <v>5</v>
      </c>
      <c r="P30" s="7">
        <v>4</v>
      </c>
      <c r="Q30" s="3">
        <f t="shared" si="1"/>
        <v>8.32</v>
      </c>
    </row>
    <row r="31" spans="1:17" x14ac:dyDescent="0.3">
      <c r="A31" s="2" t="s">
        <v>14</v>
      </c>
      <c r="B31" s="2" t="str">
        <f t="shared" si="0"/>
        <v>Wednesday</v>
      </c>
      <c r="C31" s="2" cm="1">
        <f t="array" ref="C31">_xlfn.IFS(B31="Monday",1,B31="Tuesday",2,B31="Wednesday",3,B31="Thursday",4,B31="Friday",5,B31="Saturday",6,B31="Sunday",7)</f>
        <v>3</v>
      </c>
      <c r="D31" s="2" t="s">
        <v>15</v>
      </c>
      <c r="E31" s="2" t="s">
        <v>16</v>
      </c>
      <c r="F31" s="2" t="s">
        <v>17</v>
      </c>
      <c r="G31" s="2" t="s">
        <v>18</v>
      </c>
      <c r="H31" s="2" t="s">
        <v>19</v>
      </c>
      <c r="I31" s="2">
        <v>5</v>
      </c>
      <c r="J31" s="3">
        <v>57.12</v>
      </c>
      <c r="K31" s="3">
        <v>85.73</v>
      </c>
      <c r="L31" s="3">
        <v>285.60000000000002</v>
      </c>
      <c r="M31" s="3">
        <v>428.65</v>
      </c>
      <c r="N31" s="3">
        <v>143.05000000000001</v>
      </c>
      <c r="O31" s="2">
        <v>3</v>
      </c>
      <c r="P31" s="7">
        <v>4</v>
      </c>
      <c r="Q31" s="3">
        <f t="shared" si="1"/>
        <v>28.610000000000003</v>
      </c>
    </row>
    <row r="32" spans="1:17" x14ac:dyDescent="0.3">
      <c r="A32" s="2" t="s">
        <v>113</v>
      </c>
      <c r="B32" s="2" t="str">
        <f t="shared" si="0"/>
        <v>Wednesday</v>
      </c>
      <c r="C32" s="2" cm="1">
        <f t="array" ref="C32">_xlfn.IFS(B32="Monday",1,B32="Tuesday",2,B32="Wednesday",3,B32="Thursday",4,B32="Friday",5,B32="Saturday",6,B32="Sunday",7)</f>
        <v>3</v>
      </c>
      <c r="D32" s="2" t="s">
        <v>15</v>
      </c>
      <c r="E32" s="2" t="s">
        <v>33</v>
      </c>
      <c r="F32" s="2" t="s">
        <v>21</v>
      </c>
      <c r="G32" s="2" t="s">
        <v>22</v>
      </c>
      <c r="H32" s="2" t="s">
        <v>37</v>
      </c>
      <c r="I32" s="2">
        <v>5</v>
      </c>
      <c r="J32" s="3">
        <v>99.83</v>
      </c>
      <c r="K32" s="3">
        <v>168.93</v>
      </c>
      <c r="L32" s="3">
        <v>499.15</v>
      </c>
      <c r="M32" s="3">
        <v>844.65</v>
      </c>
      <c r="N32" s="3">
        <v>345.5</v>
      </c>
      <c r="O32" s="2">
        <v>4</v>
      </c>
      <c r="P32" s="7">
        <v>1</v>
      </c>
      <c r="Q32" s="3">
        <f t="shared" si="1"/>
        <v>69.099999999999994</v>
      </c>
    </row>
    <row r="33" spans="1:17" x14ac:dyDescent="0.3">
      <c r="A33" s="2" t="s">
        <v>75</v>
      </c>
      <c r="B33" s="2" t="str">
        <f t="shared" si="0"/>
        <v>Wednesday</v>
      </c>
      <c r="C33" s="2" cm="1">
        <f t="array" ref="C33">_xlfn.IFS(B33="Monday",1,B33="Tuesday",2,B33="Wednesday",3,B33="Thursday",4,B33="Friday",5,B33="Saturday",6,B33="Sunday",7)</f>
        <v>3</v>
      </c>
      <c r="D33" s="2" t="s">
        <v>24</v>
      </c>
      <c r="E33" s="2" t="s">
        <v>16</v>
      </c>
      <c r="F33" s="2" t="s">
        <v>17</v>
      </c>
      <c r="G33" s="2" t="s">
        <v>18</v>
      </c>
      <c r="H33" s="2" t="s">
        <v>37</v>
      </c>
      <c r="I33" s="2">
        <v>6</v>
      </c>
      <c r="J33" s="3">
        <v>79.72</v>
      </c>
      <c r="K33" s="3">
        <v>106.83</v>
      </c>
      <c r="L33" s="3">
        <v>478.32</v>
      </c>
      <c r="M33" s="3">
        <v>640.98</v>
      </c>
      <c r="N33" s="3">
        <v>162.66</v>
      </c>
      <c r="O33" s="2">
        <v>3</v>
      </c>
      <c r="P33" s="7">
        <v>2</v>
      </c>
      <c r="Q33" s="3">
        <f t="shared" si="1"/>
        <v>27.11</v>
      </c>
    </row>
    <row r="34" spans="1:17" x14ac:dyDescent="0.3">
      <c r="A34" s="2" t="s">
        <v>94</v>
      </c>
      <c r="B34" s="2" t="str">
        <f t="shared" ref="B34:B65" si="2">TEXT(DAY(A34),"dddd")</f>
        <v>Wednesday</v>
      </c>
      <c r="C34" s="2" cm="1">
        <f t="array" ref="C34">_xlfn.IFS(B34="Monday",1,B34="Tuesday",2,B34="Wednesday",3,B34="Thursday",4,B34="Friday",5,B34="Saturday",6,B34="Sunday",7)</f>
        <v>3</v>
      </c>
      <c r="D34" s="2" t="s">
        <v>15</v>
      </c>
      <c r="E34" s="2" t="s">
        <v>25</v>
      </c>
      <c r="F34" s="2" t="s">
        <v>28</v>
      </c>
      <c r="G34" s="2" t="s">
        <v>69</v>
      </c>
      <c r="H34" s="2" t="s">
        <v>30</v>
      </c>
      <c r="I34" s="2">
        <v>9</v>
      </c>
      <c r="J34" s="3">
        <v>115.68</v>
      </c>
      <c r="K34" s="3">
        <v>179.07</v>
      </c>
      <c r="L34" s="3">
        <v>1041.1199999999999</v>
      </c>
      <c r="M34" s="3">
        <v>1611.63</v>
      </c>
      <c r="N34" s="3">
        <v>570.51</v>
      </c>
      <c r="O34" s="2">
        <v>8</v>
      </c>
      <c r="P34" s="7">
        <v>1</v>
      </c>
      <c r="Q34" s="3">
        <f t="shared" ref="Q34:Q65" si="3">N34/I34</f>
        <v>63.39</v>
      </c>
    </row>
    <row r="35" spans="1:17" x14ac:dyDescent="0.3">
      <c r="A35" s="2" t="s">
        <v>90</v>
      </c>
      <c r="B35" s="2" t="str">
        <f t="shared" si="2"/>
        <v>Wednesday</v>
      </c>
      <c r="C35" s="2" cm="1">
        <f t="array" ref="C35">_xlfn.IFS(B35="Monday",1,B35="Tuesday",2,B35="Wednesday",3,B35="Thursday",4,B35="Friday",5,B35="Saturday",6,B35="Sunday",7)</f>
        <v>3</v>
      </c>
      <c r="D35" s="2" t="s">
        <v>24</v>
      </c>
      <c r="E35" s="2" t="s">
        <v>16</v>
      </c>
      <c r="F35" s="2" t="s">
        <v>28</v>
      </c>
      <c r="G35" s="2" t="s">
        <v>69</v>
      </c>
      <c r="H35" s="2" t="s">
        <v>19</v>
      </c>
      <c r="I35" s="2">
        <v>9</v>
      </c>
      <c r="J35" s="3">
        <v>97</v>
      </c>
      <c r="K35" s="3">
        <v>138.37</v>
      </c>
      <c r="L35" s="3">
        <v>873</v>
      </c>
      <c r="M35" s="3">
        <v>1245.33</v>
      </c>
      <c r="N35" s="3">
        <v>372.33</v>
      </c>
      <c r="O35" s="2">
        <v>3</v>
      </c>
      <c r="P35" s="7">
        <v>3</v>
      </c>
      <c r="Q35" s="3">
        <f t="shared" si="3"/>
        <v>41.37</v>
      </c>
    </row>
    <row r="36" spans="1:17" x14ac:dyDescent="0.3">
      <c r="A36" s="2" t="s">
        <v>50</v>
      </c>
      <c r="B36" s="2" t="str">
        <f t="shared" si="2"/>
        <v>Wednesday</v>
      </c>
      <c r="C36" s="2" cm="1">
        <f t="array" ref="C36">_xlfn.IFS(B36="Monday",1,B36="Tuesday",2,B36="Wednesday",3,B36="Thursday",4,B36="Friday",5,B36="Saturday",6,B36="Sunday",7)</f>
        <v>3</v>
      </c>
      <c r="D36" s="2" t="s">
        <v>24</v>
      </c>
      <c r="E36" s="2" t="s">
        <v>27</v>
      </c>
      <c r="F36" s="2" t="s">
        <v>17</v>
      </c>
      <c r="G36" s="2" t="s">
        <v>43</v>
      </c>
      <c r="H36" s="2" t="s">
        <v>37</v>
      </c>
      <c r="I36" s="2">
        <v>3</v>
      </c>
      <c r="J36" s="3">
        <v>56.64</v>
      </c>
      <c r="K36" s="3">
        <v>90.01</v>
      </c>
      <c r="L36" s="3">
        <v>169.92</v>
      </c>
      <c r="M36" s="3">
        <v>270.02999999999997</v>
      </c>
      <c r="N36" s="3">
        <v>100.11</v>
      </c>
      <c r="O36" s="2">
        <v>2</v>
      </c>
      <c r="P36" s="7">
        <v>2</v>
      </c>
      <c r="Q36" s="3">
        <f t="shared" si="3"/>
        <v>33.369999999999997</v>
      </c>
    </row>
    <row r="37" spans="1:17" x14ac:dyDescent="0.3">
      <c r="A37" s="2" t="s">
        <v>23</v>
      </c>
      <c r="B37" s="2" t="str">
        <f t="shared" si="2"/>
        <v>Wednesday</v>
      </c>
      <c r="C37" s="2" cm="1">
        <f t="array" ref="C37">_xlfn.IFS(B37="Monday",1,B37="Tuesday",2,B37="Wednesday",3,B37="Thursday",4,B37="Friday",5,B37="Saturday",6,B37="Sunday",7)</f>
        <v>3</v>
      </c>
      <c r="D37" s="2" t="s">
        <v>24</v>
      </c>
      <c r="E37" s="2" t="s">
        <v>25</v>
      </c>
      <c r="F37" s="2" t="s">
        <v>21</v>
      </c>
      <c r="G37" s="2" t="s">
        <v>22</v>
      </c>
      <c r="H37" s="2" t="s">
        <v>19</v>
      </c>
      <c r="I37" s="2">
        <v>7</v>
      </c>
      <c r="J37" s="3">
        <v>48</v>
      </c>
      <c r="K37" s="3">
        <v>66.02</v>
      </c>
      <c r="L37" s="3">
        <v>336</v>
      </c>
      <c r="M37" s="3">
        <v>462.14</v>
      </c>
      <c r="N37" s="3">
        <v>126.14</v>
      </c>
      <c r="O37" s="2">
        <v>5</v>
      </c>
      <c r="P37" s="7">
        <v>1</v>
      </c>
      <c r="Q37" s="3">
        <f t="shared" si="3"/>
        <v>18.02</v>
      </c>
    </row>
    <row r="38" spans="1:17" x14ac:dyDescent="0.3">
      <c r="A38" s="2" t="s">
        <v>57</v>
      </c>
      <c r="B38" s="2" t="str">
        <f t="shared" si="2"/>
        <v>Wednesday</v>
      </c>
      <c r="C38" s="2" cm="1">
        <f t="array" ref="C38">_xlfn.IFS(B38="Monday",1,B38="Tuesday",2,B38="Wednesday",3,B38="Thursday",4,B38="Friday",5,B38="Saturday",6,B38="Sunday",7)</f>
        <v>3</v>
      </c>
      <c r="D38" s="2" t="s">
        <v>15</v>
      </c>
      <c r="E38" s="2" t="s">
        <v>27</v>
      </c>
      <c r="F38" s="2" t="s">
        <v>21</v>
      </c>
      <c r="G38" s="2" t="s">
        <v>22</v>
      </c>
      <c r="H38" s="2" t="s">
        <v>19</v>
      </c>
      <c r="I38" s="2">
        <v>9</v>
      </c>
      <c r="J38" s="3">
        <v>100.99</v>
      </c>
      <c r="K38" s="3">
        <v>181.23</v>
      </c>
      <c r="L38" s="3">
        <v>908.91</v>
      </c>
      <c r="M38" s="3">
        <v>1631.07</v>
      </c>
      <c r="N38" s="3">
        <v>722.16</v>
      </c>
      <c r="O38" s="2">
        <v>3</v>
      </c>
      <c r="P38" s="7">
        <v>4</v>
      </c>
      <c r="Q38" s="3">
        <f t="shared" si="3"/>
        <v>80.239999999999995</v>
      </c>
    </row>
    <row r="39" spans="1:17" x14ac:dyDescent="0.3">
      <c r="A39" s="2" t="s">
        <v>61</v>
      </c>
      <c r="B39" s="2" t="str">
        <f t="shared" si="2"/>
        <v>Wednesday</v>
      </c>
      <c r="C39" s="2" cm="1">
        <f t="array" ref="C39">_xlfn.IFS(B39="Monday",1,B39="Tuesday",2,B39="Wednesday",3,B39="Thursday",4,B39="Friday",5,B39="Saturday",6,B39="Sunday",7)</f>
        <v>3</v>
      </c>
      <c r="D39" s="2" t="s">
        <v>24</v>
      </c>
      <c r="E39" s="2" t="s">
        <v>16</v>
      </c>
      <c r="F39" s="2" t="s">
        <v>17</v>
      </c>
      <c r="G39" s="2" t="s">
        <v>43</v>
      </c>
      <c r="H39" s="2" t="s">
        <v>37</v>
      </c>
      <c r="I39" s="2">
        <v>1</v>
      </c>
      <c r="J39" s="3">
        <v>44.76</v>
      </c>
      <c r="K39" s="3">
        <v>66.12</v>
      </c>
      <c r="L39" s="3">
        <v>44.76</v>
      </c>
      <c r="M39" s="3">
        <v>66.12</v>
      </c>
      <c r="N39" s="3">
        <v>21.36</v>
      </c>
      <c r="O39" s="2">
        <v>5</v>
      </c>
      <c r="P39" s="7">
        <v>4</v>
      </c>
      <c r="Q39" s="3">
        <f t="shared" si="3"/>
        <v>21.36</v>
      </c>
    </row>
    <row r="40" spans="1:17" x14ac:dyDescent="0.3">
      <c r="A40" s="2" t="s">
        <v>61</v>
      </c>
      <c r="B40" s="2" t="str">
        <f t="shared" si="2"/>
        <v>Wednesday</v>
      </c>
      <c r="C40" s="2" cm="1">
        <f t="array" ref="C40">_xlfn.IFS(B40="Monday",1,B40="Tuesday",2,B40="Wednesday",3,B40="Thursday",4,B40="Friday",5,B40="Saturday",6,B40="Sunday",7)</f>
        <v>3</v>
      </c>
      <c r="D40" s="2" t="s">
        <v>15</v>
      </c>
      <c r="E40" s="2" t="s">
        <v>27</v>
      </c>
      <c r="F40" s="2" t="s">
        <v>28</v>
      </c>
      <c r="G40" s="2" t="s">
        <v>35</v>
      </c>
      <c r="H40" s="2" t="s">
        <v>19</v>
      </c>
      <c r="I40" s="2">
        <v>4</v>
      </c>
      <c r="J40" s="3">
        <v>66.81</v>
      </c>
      <c r="K40" s="3">
        <v>90.61</v>
      </c>
      <c r="L40" s="3">
        <v>267.24</v>
      </c>
      <c r="M40" s="3">
        <v>362.44</v>
      </c>
      <c r="N40" s="3">
        <v>95.2</v>
      </c>
      <c r="O40" s="2">
        <v>4</v>
      </c>
      <c r="P40" s="7">
        <v>2</v>
      </c>
      <c r="Q40" s="3">
        <f t="shared" si="3"/>
        <v>23.8</v>
      </c>
    </row>
    <row r="41" spans="1:17" x14ac:dyDescent="0.3">
      <c r="A41" s="2" t="s">
        <v>61</v>
      </c>
      <c r="B41" s="2" t="str">
        <f t="shared" si="2"/>
        <v>Wednesday</v>
      </c>
      <c r="C41" s="2" cm="1">
        <f t="array" ref="C41">_xlfn.IFS(B41="Monday",1,B41="Tuesday",2,B41="Wednesday",3,B41="Thursday",4,B41="Friday",5,B41="Saturday",6,B41="Sunday",7)</f>
        <v>3</v>
      </c>
      <c r="D41" s="2" t="s">
        <v>15</v>
      </c>
      <c r="E41" s="2" t="s">
        <v>16</v>
      </c>
      <c r="F41" s="2" t="s">
        <v>17</v>
      </c>
      <c r="G41" s="2" t="s">
        <v>49</v>
      </c>
      <c r="H41" s="2" t="s">
        <v>19</v>
      </c>
      <c r="I41" s="2">
        <v>5</v>
      </c>
      <c r="J41" s="3">
        <v>24.54</v>
      </c>
      <c r="K41" s="3">
        <v>32.31</v>
      </c>
      <c r="L41" s="3">
        <v>122.7</v>
      </c>
      <c r="M41" s="3">
        <v>161.55000000000001</v>
      </c>
      <c r="N41" s="3">
        <v>38.85</v>
      </c>
      <c r="O41" s="2">
        <v>3</v>
      </c>
      <c r="P41" s="7">
        <v>4</v>
      </c>
      <c r="Q41" s="3">
        <f t="shared" si="3"/>
        <v>7.7700000000000005</v>
      </c>
    </row>
    <row r="42" spans="1:17" x14ac:dyDescent="0.3">
      <c r="A42" s="2" t="s">
        <v>51</v>
      </c>
      <c r="B42" s="2" t="str">
        <f t="shared" si="2"/>
        <v>Thursday</v>
      </c>
      <c r="C42" s="2" cm="1">
        <f t="array" ref="C42">_xlfn.IFS(B42="Monday",1,B42="Tuesday",2,B42="Wednesday",3,B42="Thursday",4,B42="Friday",5,B42="Saturday",6,B42="Sunday",7)</f>
        <v>4</v>
      </c>
      <c r="D42" s="2" t="s">
        <v>24</v>
      </c>
      <c r="E42" s="2" t="s">
        <v>33</v>
      </c>
      <c r="F42" s="2" t="s">
        <v>28</v>
      </c>
      <c r="G42" s="2" t="s">
        <v>35</v>
      </c>
      <c r="H42" s="2" t="s">
        <v>19</v>
      </c>
      <c r="I42" s="2">
        <v>1</v>
      </c>
      <c r="J42" s="3">
        <v>40.299999999999997</v>
      </c>
      <c r="K42" s="3">
        <v>65.16</v>
      </c>
      <c r="L42" s="3">
        <v>40.299999999999997</v>
      </c>
      <c r="M42" s="3">
        <v>65.16</v>
      </c>
      <c r="N42" s="3">
        <v>24.86</v>
      </c>
      <c r="O42" s="2">
        <v>1</v>
      </c>
      <c r="P42" s="7">
        <v>1</v>
      </c>
      <c r="Q42" s="3">
        <f t="shared" si="3"/>
        <v>24.86</v>
      </c>
    </row>
    <row r="43" spans="1:17" x14ac:dyDescent="0.3">
      <c r="A43" s="2" t="s">
        <v>116</v>
      </c>
      <c r="B43" s="2" t="str">
        <f t="shared" si="2"/>
        <v>Thursday</v>
      </c>
      <c r="C43" s="2" cm="1">
        <f t="array" ref="C43">_xlfn.IFS(B43="Monday",1,B43="Tuesday",2,B43="Wednesday",3,B43="Thursday",4,B43="Friday",5,B43="Saturday",6,B43="Sunday",7)</f>
        <v>4</v>
      </c>
      <c r="D43" s="2" t="s">
        <v>15</v>
      </c>
      <c r="E43" s="2" t="s">
        <v>16</v>
      </c>
      <c r="F43" s="2" t="s">
        <v>28</v>
      </c>
      <c r="G43" s="2" t="s">
        <v>29</v>
      </c>
      <c r="H43" s="2" t="s">
        <v>19</v>
      </c>
      <c r="I43" s="2">
        <v>9</v>
      </c>
      <c r="J43" s="3">
        <v>25.4</v>
      </c>
      <c r="K43" s="3">
        <v>44.7</v>
      </c>
      <c r="L43" s="3">
        <v>228.6</v>
      </c>
      <c r="M43" s="3">
        <v>402.3</v>
      </c>
      <c r="N43" s="3">
        <v>173.7</v>
      </c>
      <c r="O43" s="2">
        <v>3</v>
      </c>
      <c r="P43" s="7">
        <v>3</v>
      </c>
      <c r="Q43" s="3">
        <f t="shared" si="3"/>
        <v>19.299999999999997</v>
      </c>
    </row>
    <row r="44" spans="1:17" x14ac:dyDescent="0.3">
      <c r="A44" s="2" t="s">
        <v>88</v>
      </c>
      <c r="B44" s="2" t="str">
        <f t="shared" si="2"/>
        <v>Thursday</v>
      </c>
      <c r="C44" s="2" cm="1">
        <f t="array" ref="C44">_xlfn.IFS(B44="Monday",1,B44="Tuesday",2,B44="Wednesday",3,B44="Thursday",4,B44="Friday",5,B44="Saturday",6,B44="Sunday",7)</f>
        <v>4</v>
      </c>
      <c r="D44" s="2" t="s">
        <v>24</v>
      </c>
      <c r="E44" s="2" t="s">
        <v>16</v>
      </c>
      <c r="F44" s="2" t="s">
        <v>21</v>
      </c>
      <c r="G44" s="2" t="s">
        <v>60</v>
      </c>
      <c r="H44" s="2" t="s">
        <v>37</v>
      </c>
      <c r="I44" s="2">
        <v>4</v>
      </c>
      <c r="J44" s="3">
        <v>106.74</v>
      </c>
      <c r="K44" s="3">
        <v>159.34</v>
      </c>
      <c r="L44" s="3">
        <v>426.96</v>
      </c>
      <c r="M44" s="3">
        <v>637.36</v>
      </c>
      <c r="N44" s="3">
        <v>210.4</v>
      </c>
      <c r="O44" s="2">
        <v>2</v>
      </c>
      <c r="P44" s="7">
        <v>4</v>
      </c>
      <c r="Q44" s="3">
        <f t="shared" si="3"/>
        <v>52.6</v>
      </c>
    </row>
    <row r="45" spans="1:17" x14ac:dyDescent="0.3">
      <c r="A45" s="2" t="s">
        <v>110</v>
      </c>
      <c r="B45" s="2" t="str">
        <f t="shared" si="2"/>
        <v>Thursday</v>
      </c>
      <c r="C45" s="2" cm="1">
        <f t="array" ref="C45">_xlfn.IFS(B45="Monday",1,B45="Tuesday",2,B45="Wednesday",3,B45="Thursday",4,B45="Friday",5,B45="Saturday",6,B45="Sunday",7)</f>
        <v>4</v>
      </c>
      <c r="D45" s="2" t="s">
        <v>24</v>
      </c>
      <c r="E45" s="2" t="s">
        <v>27</v>
      </c>
      <c r="F45" s="2" t="s">
        <v>17</v>
      </c>
      <c r="G45" s="2" t="s">
        <v>43</v>
      </c>
      <c r="H45" s="2" t="s">
        <v>19</v>
      </c>
      <c r="I45" s="2">
        <v>2</v>
      </c>
      <c r="J45" s="3">
        <v>85.21</v>
      </c>
      <c r="K45" s="3">
        <v>126.6</v>
      </c>
      <c r="L45" s="3">
        <v>170.42</v>
      </c>
      <c r="M45" s="3">
        <v>253.2</v>
      </c>
      <c r="N45" s="3">
        <v>82.78</v>
      </c>
      <c r="O45" s="2">
        <v>3</v>
      </c>
      <c r="P45" s="7">
        <v>5</v>
      </c>
      <c r="Q45" s="3">
        <f t="shared" si="3"/>
        <v>41.39</v>
      </c>
    </row>
    <row r="46" spans="1:17" x14ac:dyDescent="0.3">
      <c r="A46" s="2" t="s">
        <v>112</v>
      </c>
      <c r="B46" s="2" t="str">
        <f t="shared" si="2"/>
        <v>Thursday</v>
      </c>
      <c r="C46" s="2" cm="1">
        <f t="array" ref="C46">_xlfn.IFS(B46="Monday",1,B46="Tuesday",2,B46="Wednesday",3,B46="Thursday",4,B46="Friday",5,B46="Saturday",6,B46="Sunday",7)</f>
        <v>4</v>
      </c>
      <c r="D46" s="2" t="s">
        <v>24</v>
      </c>
      <c r="E46" s="2" t="s">
        <v>25</v>
      </c>
      <c r="F46" s="2" t="s">
        <v>28</v>
      </c>
      <c r="G46" s="2" t="s">
        <v>29</v>
      </c>
      <c r="H46" s="2" t="s">
        <v>19</v>
      </c>
      <c r="I46" s="2">
        <v>1</v>
      </c>
      <c r="J46" s="3">
        <v>42.87</v>
      </c>
      <c r="K46" s="3">
        <v>67.38</v>
      </c>
      <c r="L46" s="3">
        <v>42.87</v>
      </c>
      <c r="M46" s="3">
        <v>67.38</v>
      </c>
      <c r="N46" s="3">
        <v>24.51</v>
      </c>
      <c r="O46" s="2">
        <v>5</v>
      </c>
      <c r="P46" s="7">
        <v>1</v>
      </c>
      <c r="Q46" s="3">
        <f t="shared" si="3"/>
        <v>24.51</v>
      </c>
    </row>
    <row r="47" spans="1:17" x14ac:dyDescent="0.3">
      <c r="A47" s="2" t="s">
        <v>53</v>
      </c>
      <c r="B47" s="2" t="str">
        <f t="shared" si="2"/>
        <v>Thursday</v>
      </c>
      <c r="C47" s="2" cm="1">
        <f t="array" ref="C47">_xlfn.IFS(B47="Monday",1,B47="Tuesday",2,B47="Wednesday",3,B47="Thursday",4,B47="Friday",5,B47="Saturday",6,B47="Sunday",7)</f>
        <v>4</v>
      </c>
      <c r="D47" s="2" t="s">
        <v>24</v>
      </c>
      <c r="E47" s="2" t="s">
        <v>25</v>
      </c>
      <c r="F47" s="2" t="s">
        <v>21</v>
      </c>
      <c r="G47" s="2" t="s">
        <v>22</v>
      </c>
      <c r="H47" s="2" t="s">
        <v>19</v>
      </c>
      <c r="I47" s="2">
        <v>2</v>
      </c>
      <c r="J47" s="3">
        <v>113.35</v>
      </c>
      <c r="K47" s="3">
        <v>203.53</v>
      </c>
      <c r="L47" s="3">
        <v>226.7</v>
      </c>
      <c r="M47" s="3">
        <v>407.06</v>
      </c>
      <c r="N47" s="3">
        <v>180.36</v>
      </c>
      <c r="O47" s="2">
        <v>2</v>
      </c>
      <c r="P47" s="7">
        <v>5</v>
      </c>
      <c r="Q47" s="3">
        <f t="shared" si="3"/>
        <v>90.18</v>
      </c>
    </row>
    <row r="48" spans="1:17" x14ac:dyDescent="0.3">
      <c r="A48" s="2" t="s">
        <v>53</v>
      </c>
      <c r="B48" s="2" t="str">
        <f t="shared" si="2"/>
        <v>Thursday</v>
      </c>
      <c r="C48" s="2" cm="1">
        <f t="array" ref="C48">_xlfn.IFS(B48="Monday",1,B48="Tuesday",2,B48="Wednesday",3,B48="Thursday",4,B48="Friday",5,B48="Saturday",6,B48="Sunday",7)</f>
        <v>4</v>
      </c>
      <c r="D48" s="2" t="s">
        <v>15</v>
      </c>
      <c r="E48" s="2" t="s">
        <v>25</v>
      </c>
      <c r="F48" s="2" t="s">
        <v>21</v>
      </c>
      <c r="G48" s="2" t="s">
        <v>22</v>
      </c>
      <c r="H48" s="2" t="s">
        <v>19</v>
      </c>
      <c r="I48" s="2">
        <v>6</v>
      </c>
      <c r="J48" s="3">
        <v>68.91</v>
      </c>
      <c r="K48" s="3">
        <v>107.62</v>
      </c>
      <c r="L48" s="3">
        <v>413.46</v>
      </c>
      <c r="M48" s="3">
        <v>645.72</v>
      </c>
      <c r="N48" s="3">
        <v>232.26</v>
      </c>
      <c r="O48" s="2">
        <v>1</v>
      </c>
      <c r="P48" s="7">
        <v>3</v>
      </c>
      <c r="Q48" s="3">
        <f t="shared" si="3"/>
        <v>38.71</v>
      </c>
    </row>
    <row r="49" spans="1:17" x14ac:dyDescent="0.3">
      <c r="A49" s="2" t="s">
        <v>53</v>
      </c>
      <c r="B49" s="2" t="str">
        <f t="shared" si="2"/>
        <v>Thursday</v>
      </c>
      <c r="C49" s="2" cm="1">
        <f t="array" ref="C49">_xlfn.IFS(B49="Monday",1,B49="Tuesday",2,B49="Wednesday",3,B49="Thursday",4,B49="Friday",5,B49="Saturday",6,B49="Sunday",7)</f>
        <v>4</v>
      </c>
      <c r="D49" s="2" t="s">
        <v>15</v>
      </c>
      <c r="E49" s="2" t="s">
        <v>27</v>
      </c>
      <c r="F49" s="2" t="s">
        <v>28</v>
      </c>
      <c r="G49" s="2" t="s">
        <v>35</v>
      </c>
      <c r="H49" s="2" t="s">
        <v>37</v>
      </c>
      <c r="I49" s="2">
        <v>5</v>
      </c>
      <c r="J49" s="3">
        <v>112.32</v>
      </c>
      <c r="K49" s="3">
        <v>156.49</v>
      </c>
      <c r="L49" s="3">
        <v>561.6</v>
      </c>
      <c r="M49" s="3">
        <v>782.45</v>
      </c>
      <c r="N49" s="3">
        <v>220.85</v>
      </c>
      <c r="O49" s="2">
        <v>3</v>
      </c>
      <c r="P49" s="7">
        <v>4</v>
      </c>
      <c r="Q49" s="3">
        <f t="shared" si="3"/>
        <v>44.17</v>
      </c>
    </row>
    <row r="50" spans="1:17" x14ac:dyDescent="0.3">
      <c r="A50" s="2" t="s">
        <v>26</v>
      </c>
      <c r="B50" s="2" t="str">
        <f t="shared" si="2"/>
        <v>Thursday</v>
      </c>
      <c r="C50" s="2" cm="1">
        <f t="array" ref="C50">_xlfn.IFS(B50="Monday",1,B50="Tuesday",2,B50="Wednesday",3,B50="Thursday",4,B50="Friday",5,B50="Saturday",6,B50="Sunday",7)</f>
        <v>4</v>
      </c>
      <c r="D50" s="2" t="s">
        <v>15</v>
      </c>
      <c r="E50" s="2" t="s">
        <v>27</v>
      </c>
      <c r="F50" s="2" t="s">
        <v>28</v>
      </c>
      <c r="G50" s="2" t="s">
        <v>29</v>
      </c>
      <c r="H50" s="2" t="s">
        <v>30</v>
      </c>
      <c r="I50" s="2">
        <v>7</v>
      </c>
      <c r="J50" s="3">
        <v>82.57</v>
      </c>
      <c r="K50" s="3">
        <v>135.13</v>
      </c>
      <c r="L50" s="3">
        <v>577.99</v>
      </c>
      <c r="M50" s="3">
        <v>945.91</v>
      </c>
      <c r="N50" s="3">
        <v>367.92</v>
      </c>
      <c r="O50" s="2">
        <v>6</v>
      </c>
      <c r="P50" s="7">
        <v>3</v>
      </c>
      <c r="Q50" s="3">
        <f t="shared" si="3"/>
        <v>52.56</v>
      </c>
    </row>
    <row r="51" spans="1:17" x14ac:dyDescent="0.3">
      <c r="A51" s="2" t="s">
        <v>81</v>
      </c>
      <c r="B51" s="2" t="str">
        <f t="shared" si="2"/>
        <v>Thursday</v>
      </c>
      <c r="C51" s="2" cm="1">
        <f t="array" ref="C51">_xlfn.IFS(B51="Monday",1,B51="Tuesday",2,B51="Wednesday",3,B51="Thursday",4,B51="Friday",5,B51="Saturday",6,B51="Sunday",7)</f>
        <v>4</v>
      </c>
      <c r="D51" s="2" t="s">
        <v>15</v>
      </c>
      <c r="E51" s="2" t="s">
        <v>16</v>
      </c>
      <c r="F51" s="2" t="s">
        <v>17</v>
      </c>
      <c r="G51" s="2" t="s">
        <v>49</v>
      </c>
      <c r="H51" s="2" t="s">
        <v>30</v>
      </c>
      <c r="I51" s="2">
        <v>1</v>
      </c>
      <c r="J51" s="3">
        <v>53.22</v>
      </c>
      <c r="K51" s="3">
        <v>82.06</v>
      </c>
      <c r="L51" s="3">
        <v>53.22</v>
      </c>
      <c r="M51" s="3">
        <v>82.06</v>
      </c>
      <c r="N51" s="3">
        <v>28.84</v>
      </c>
      <c r="O51" s="2">
        <v>10</v>
      </c>
      <c r="P51" s="7">
        <v>5</v>
      </c>
      <c r="Q51" s="3">
        <f t="shared" si="3"/>
        <v>28.84</v>
      </c>
    </row>
    <row r="52" spans="1:17" x14ac:dyDescent="0.3">
      <c r="A52" s="2" t="s">
        <v>45</v>
      </c>
      <c r="B52" s="2" t="str">
        <f t="shared" si="2"/>
        <v>Thursday</v>
      </c>
      <c r="C52" s="2" cm="1">
        <f t="array" ref="C52">_xlfn.IFS(B52="Monday",1,B52="Tuesday",2,B52="Wednesday",3,B52="Thursday",4,B52="Friday",5,B52="Saturday",6,B52="Sunday",7)</f>
        <v>4</v>
      </c>
      <c r="D52" s="2" t="s">
        <v>15</v>
      </c>
      <c r="E52" s="2" t="s">
        <v>33</v>
      </c>
      <c r="F52" s="2" t="s">
        <v>17</v>
      </c>
      <c r="G52" s="2" t="s">
        <v>43</v>
      </c>
      <c r="H52" s="2" t="s">
        <v>30</v>
      </c>
      <c r="I52" s="2">
        <v>1</v>
      </c>
      <c r="J52" s="3">
        <v>114.21</v>
      </c>
      <c r="K52" s="3">
        <v>170.8</v>
      </c>
      <c r="L52" s="3">
        <v>114.21</v>
      </c>
      <c r="M52" s="3">
        <v>170.8</v>
      </c>
      <c r="N52" s="3">
        <v>56.59</v>
      </c>
      <c r="O52" s="2">
        <v>7</v>
      </c>
      <c r="P52" s="7">
        <v>5</v>
      </c>
      <c r="Q52" s="3">
        <f t="shared" si="3"/>
        <v>56.59</v>
      </c>
    </row>
    <row r="53" spans="1:17" x14ac:dyDescent="0.3">
      <c r="A53" s="2" t="s">
        <v>80</v>
      </c>
      <c r="B53" s="2" t="str">
        <f t="shared" si="2"/>
        <v>Thursday</v>
      </c>
      <c r="C53" s="2" cm="1">
        <f t="array" ref="C53">_xlfn.IFS(B53="Monday",1,B53="Tuesday",2,B53="Wednesday",3,B53="Thursday",4,B53="Friday",5,B53="Saturday",6,B53="Sunday",7)</f>
        <v>4</v>
      </c>
      <c r="D53" s="2" t="s">
        <v>24</v>
      </c>
      <c r="E53" s="2" t="s">
        <v>16</v>
      </c>
      <c r="F53" s="2" t="s">
        <v>17</v>
      </c>
      <c r="G53" s="2" t="s">
        <v>18</v>
      </c>
      <c r="H53" s="2" t="s">
        <v>30</v>
      </c>
      <c r="I53" s="2">
        <v>7</v>
      </c>
      <c r="J53" s="3">
        <v>60</v>
      </c>
      <c r="K53" s="3">
        <v>101.76</v>
      </c>
      <c r="L53" s="3">
        <v>420</v>
      </c>
      <c r="M53" s="3">
        <v>712.32</v>
      </c>
      <c r="N53" s="3">
        <v>292.32</v>
      </c>
      <c r="O53" s="2">
        <v>7</v>
      </c>
      <c r="P53" s="7">
        <v>2</v>
      </c>
      <c r="Q53" s="3">
        <f t="shared" si="3"/>
        <v>41.76</v>
      </c>
    </row>
    <row r="54" spans="1:17" x14ac:dyDescent="0.3">
      <c r="A54" s="2" t="s">
        <v>80</v>
      </c>
      <c r="B54" s="2" t="str">
        <f t="shared" si="2"/>
        <v>Thursday</v>
      </c>
      <c r="C54" s="2" cm="1">
        <f t="array" ref="C54">_xlfn.IFS(B54="Monday",1,B54="Tuesday",2,B54="Wednesday",3,B54="Thursday",4,B54="Friday",5,B54="Saturday",6,B54="Sunday",7)</f>
        <v>4</v>
      </c>
      <c r="D54" s="2" t="s">
        <v>15</v>
      </c>
      <c r="E54" s="2" t="s">
        <v>27</v>
      </c>
      <c r="F54" s="2" t="s">
        <v>28</v>
      </c>
      <c r="G54" s="2" t="s">
        <v>29</v>
      </c>
      <c r="H54" s="2" t="s">
        <v>37</v>
      </c>
      <c r="I54" s="2">
        <v>2</v>
      </c>
      <c r="J54" s="3">
        <v>106.83</v>
      </c>
      <c r="K54" s="3">
        <v>161.68</v>
      </c>
      <c r="L54" s="3">
        <v>213.66</v>
      </c>
      <c r="M54" s="3">
        <v>323.36</v>
      </c>
      <c r="N54" s="3">
        <v>109.7</v>
      </c>
      <c r="O54" s="2">
        <v>3</v>
      </c>
      <c r="P54" s="7">
        <v>3</v>
      </c>
      <c r="Q54" s="3">
        <f t="shared" si="3"/>
        <v>54.85</v>
      </c>
    </row>
    <row r="55" spans="1:17" x14ac:dyDescent="0.3">
      <c r="A55" s="2" t="s">
        <v>95</v>
      </c>
      <c r="B55" s="2" t="str">
        <f t="shared" si="2"/>
        <v>Thursday</v>
      </c>
      <c r="C55" s="2" cm="1">
        <f t="array" ref="C55">_xlfn.IFS(B55="Monday",1,B55="Tuesday",2,B55="Wednesday",3,B55="Thursday",4,B55="Friday",5,B55="Saturday",6,B55="Sunday",7)</f>
        <v>4</v>
      </c>
      <c r="D55" s="2" t="s">
        <v>24</v>
      </c>
      <c r="E55" s="2" t="s">
        <v>27</v>
      </c>
      <c r="F55" s="2" t="s">
        <v>17</v>
      </c>
      <c r="G55" s="2" t="s">
        <v>18</v>
      </c>
      <c r="H55" s="2" t="s">
        <v>30</v>
      </c>
      <c r="I55" s="2">
        <v>4</v>
      </c>
      <c r="J55" s="3">
        <v>33.299999999999997</v>
      </c>
      <c r="K55" s="3">
        <v>53.11</v>
      </c>
      <c r="L55" s="3">
        <v>133.19999999999999</v>
      </c>
      <c r="M55" s="3">
        <v>212.44</v>
      </c>
      <c r="N55" s="3">
        <v>79.239999999999995</v>
      </c>
      <c r="O55" s="2">
        <v>7</v>
      </c>
      <c r="P55" s="7">
        <v>1</v>
      </c>
      <c r="Q55" s="3">
        <f t="shared" si="3"/>
        <v>19.809999999999999</v>
      </c>
    </row>
    <row r="56" spans="1:17" x14ac:dyDescent="0.3">
      <c r="A56" s="2" t="s">
        <v>95</v>
      </c>
      <c r="B56" s="2" t="str">
        <f t="shared" si="2"/>
        <v>Thursday</v>
      </c>
      <c r="C56" s="2" cm="1">
        <f t="array" ref="C56">_xlfn.IFS(B56="Monday",1,B56="Tuesday",2,B56="Wednesday",3,B56="Thursday",4,B56="Friday",5,B56="Saturday",6,B56="Sunday",7)</f>
        <v>4</v>
      </c>
      <c r="D56" s="2" t="s">
        <v>24</v>
      </c>
      <c r="E56" s="2" t="s">
        <v>27</v>
      </c>
      <c r="F56" s="2" t="s">
        <v>28</v>
      </c>
      <c r="G56" s="2" t="s">
        <v>69</v>
      </c>
      <c r="H56" s="2" t="s">
        <v>19</v>
      </c>
      <c r="I56" s="2">
        <v>6</v>
      </c>
      <c r="J56" s="3">
        <v>39.4</v>
      </c>
      <c r="K56" s="3">
        <v>66.75</v>
      </c>
      <c r="L56" s="3">
        <v>236.4</v>
      </c>
      <c r="M56" s="3">
        <v>400.5</v>
      </c>
      <c r="N56" s="3">
        <v>164.1</v>
      </c>
      <c r="O56" s="2">
        <v>2</v>
      </c>
      <c r="P56" s="7">
        <v>2</v>
      </c>
      <c r="Q56" s="3">
        <f t="shared" si="3"/>
        <v>27.349999999999998</v>
      </c>
    </row>
    <row r="57" spans="1:17" x14ac:dyDescent="0.3">
      <c r="A57" s="2" t="s">
        <v>95</v>
      </c>
      <c r="B57" s="2" t="str">
        <f t="shared" si="2"/>
        <v>Thursday</v>
      </c>
      <c r="C57" s="2" cm="1">
        <f t="array" ref="C57">_xlfn.IFS(B57="Monday",1,B57="Tuesday",2,B57="Wednesday",3,B57="Thursday",4,B57="Friday",5,B57="Saturday",6,B57="Sunday",7)</f>
        <v>4</v>
      </c>
      <c r="D57" s="2" t="s">
        <v>15</v>
      </c>
      <c r="E57" s="2" t="s">
        <v>33</v>
      </c>
      <c r="F57" s="2" t="s">
        <v>21</v>
      </c>
      <c r="G57" s="2" t="s">
        <v>22</v>
      </c>
      <c r="H57" s="2" t="s">
        <v>30</v>
      </c>
      <c r="I57" s="2">
        <v>7</v>
      </c>
      <c r="J57" s="3">
        <v>20.52</v>
      </c>
      <c r="K57" s="3">
        <v>31.3</v>
      </c>
      <c r="L57" s="3">
        <v>143.63999999999999</v>
      </c>
      <c r="M57" s="3">
        <v>219.1</v>
      </c>
      <c r="N57" s="3">
        <v>75.459999999999994</v>
      </c>
      <c r="O57" s="2">
        <v>9</v>
      </c>
      <c r="P57" s="7">
        <v>2</v>
      </c>
      <c r="Q57" s="3">
        <f t="shared" si="3"/>
        <v>10.78</v>
      </c>
    </row>
    <row r="58" spans="1:17" x14ac:dyDescent="0.3">
      <c r="A58" s="2" t="s">
        <v>117</v>
      </c>
      <c r="B58" s="2" t="str">
        <f t="shared" si="2"/>
        <v>Thursday</v>
      </c>
      <c r="C58" s="2" cm="1">
        <f t="array" ref="C58">_xlfn.IFS(B58="Monday",1,B58="Tuesday",2,B58="Wednesday",3,B58="Thursday",4,B58="Friday",5,B58="Saturday",6,B58="Sunday",7)</f>
        <v>4</v>
      </c>
      <c r="D58" s="2" t="s">
        <v>15</v>
      </c>
      <c r="E58" s="2" t="s">
        <v>27</v>
      </c>
      <c r="F58" s="2" t="s">
        <v>21</v>
      </c>
      <c r="G58" s="2" t="s">
        <v>22</v>
      </c>
      <c r="H58" s="2" t="s">
        <v>37</v>
      </c>
      <c r="I58" s="2">
        <v>2</v>
      </c>
      <c r="J58" s="3">
        <v>99.68</v>
      </c>
      <c r="K58" s="3">
        <v>153.47</v>
      </c>
      <c r="L58" s="3">
        <v>199.36</v>
      </c>
      <c r="M58" s="3">
        <v>306.94</v>
      </c>
      <c r="N58" s="3">
        <v>107.58</v>
      </c>
      <c r="O58" s="2">
        <v>3</v>
      </c>
      <c r="P58" s="7">
        <v>5</v>
      </c>
      <c r="Q58" s="3">
        <f t="shared" si="3"/>
        <v>53.79</v>
      </c>
    </row>
    <row r="59" spans="1:17" x14ac:dyDescent="0.3">
      <c r="A59" s="2" t="s">
        <v>74</v>
      </c>
      <c r="B59" s="2" t="str">
        <f t="shared" si="2"/>
        <v>Thursday</v>
      </c>
      <c r="C59" s="2" cm="1">
        <f t="array" ref="C59">_xlfn.IFS(B59="Monday",1,B59="Tuesday",2,B59="Wednesday",3,B59="Thursday",4,B59="Friday",5,B59="Saturday",6,B59="Sunday",7)</f>
        <v>4</v>
      </c>
      <c r="D59" s="2" t="s">
        <v>24</v>
      </c>
      <c r="E59" s="2" t="s">
        <v>27</v>
      </c>
      <c r="F59" s="2" t="s">
        <v>17</v>
      </c>
      <c r="G59" s="2" t="s">
        <v>43</v>
      </c>
      <c r="H59" s="2" t="s">
        <v>37</v>
      </c>
      <c r="I59" s="2">
        <v>4</v>
      </c>
      <c r="J59" s="3">
        <v>90.95</v>
      </c>
      <c r="K59" s="3">
        <v>124.05</v>
      </c>
      <c r="L59" s="3">
        <v>363.8</v>
      </c>
      <c r="M59" s="3">
        <v>496.2</v>
      </c>
      <c r="N59" s="3">
        <v>132.4</v>
      </c>
      <c r="O59" s="2">
        <v>3</v>
      </c>
      <c r="P59" s="7">
        <v>5</v>
      </c>
      <c r="Q59" s="3">
        <f t="shared" si="3"/>
        <v>33.1</v>
      </c>
    </row>
    <row r="60" spans="1:17" x14ac:dyDescent="0.3">
      <c r="A60" s="2" t="s">
        <v>84</v>
      </c>
      <c r="B60" s="2" t="str">
        <f t="shared" si="2"/>
        <v>Thursday</v>
      </c>
      <c r="C60" s="2" cm="1">
        <f t="array" ref="C60">_xlfn.IFS(B60="Monday",1,B60="Tuesday",2,B60="Wednesday",3,B60="Thursday",4,B60="Friday",5,B60="Saturday",6,B60="Sunday",7)</f>
        <v>4</v>
      </c>
      <c r="D60" s="2" t="s">
        <v>15</v>
      </c>
      <c r="E60" s="2" t="s">
        <v>33</v>
      </c>
      <c r="F60" s="2" t="s">
        <v>28</v>
      </c>
      <c r="G60" s="2" t="s">
        <v>29</v>
      </c>
      <c r="H60" s="2" t="s">
        <v>19</v>
      </c>
      <c r="I60" s="2">
        <v>2</v>
      </c>
      <c r="J60" s="3">
        <v>20.85</v>
      </c>
      <c r="K60" s="3">
        <v>29.73</v>
      </c>
      <c r="L60" s="3">
        <v>41.7</v>
      </c>
      <c r="M60" s="3">
        <v>59.46</v>
      </c>
      <c r="N60" s="3">
        <v>17.760000000000002</v>
      </c>
      <c r="O60" s="2">
        <v>4</v>
      </c>
      <c r="P60" s="7">
        <v>2</v>
      </c>
      <c r="Q60" s="3">
        <f t="shared" si="3"/>
        <v>8.8800000000000008</v>
      </c>
    </row>
    <row r="61" spans="1:17" x14ac:dyDescent="0.3">
      <c r="A61" s="2" t="s">
        <v>92</v>
      </c>
      <c r="B61" s="2" t="str">
        <f t="shared" si="2"/>
        <v>Thursday</v>
      </c>
      <c r="C61" s="2" cm="1">
        <f t="array" ref="C61">_xlfn.IFS(B61="Monday",1,B61="Tuesday",2,B61="Wednesday",3,B61="Thursday",4,B61="Friday",5,B61="Saturday",6,B61="Sunday",7)</f>
        <v>4</v>
      </c>
      <c r="D61" s="2" t="s">
        <v>24</v>
      </c>
      <c r="E61" s="2" t="s">
        <v>27</v>
      </c>
      <c r="F61" s="2" t="s">
        <v>17</v>
      </c>
      <c r="G61" s="2" t="s">
        <v>49</v>
      </c>
      <c r="H61" s="2" t="s">
        <v>19</v>
      </c>
      <c r="I61" s="2">
        <v>9</v>
      </c>
      <c r="J61" s="3">
        <v>25.61</v>
      </c>
      <c r="K61" s="3">
        <v>34.69</v>
      </c>
      <c r="L61" s="3">
        <v>230.49</v>
      </c>
      <c r="M61" s="3">
        <v>312.20999999999998</v>
      </c>
      <c r="N61" s="3">
        <v>81.72</v>
      </c>
      <c r="O61" s="2">
        <v>1</v>
      </c>
      <c r="P61" s="7">
        <v>4</v>
      </c>
      <c r="Q61" s="3">
        <f t="shared" si="3"/>
        <v>9.08</v>
      </c>
    </row>
    <row r="62" spans="1:17" x14ac:dyDescent="0.3">
      <c r="A62" s="2" t="s">
        <v>114</v>
      </c>
      <c r="B62" s="2" t="str">
        <f t="shared" si="2"/>
        <v>Thursday</v>
      </c>
      <c r="C62" s="2" cm="1">
        <f t="array" ref="C62">_xlfn.IFS(B62="Monday",1,B62="Tuesday",2,B62="Wednesday",3,B62="Thursday",4,B62="Friday",5,B62="Saturday",6,B62="Sunday",7)</f>
        <v>4</v>
      </c>
      <c r="D62" s="2" t="s">
        <v>15</v>
      </c>
      <c r="E62" s="2" t="s">
        <v>27</v>
      </c>
      <c r="F62" s="2" t="s">
        <v>28</v>
      </c>
      <c r="G62" s="2" t="s">
        <v>35</v>
      </c>
      <c r="H62" s="2" t="s">
        <v>37</v>
      </c>
      <c r="I62" s="2">
        <v>3</v>
      </c>
      <c r="J62" s="3">
        <v>29.48</v>
      </c>
      <c r="K62" s="3">
        <v>44.56</v>
      </c>
      <c r="L62" s="3">
        <v>88.44</v>
      </c>
      <c r="M62" s="3">
        <v>133.68</v>
      </c>
      <c r="N62" s="3">
        <v>45.24</v>
      </c>
      <c r="O62" s="2">
        <v>5</v>
      </c>
      <c r="P62" s="7">
        <v>4</v>
      </c>
      <c r="Q62" s="3">
        <f t="shared" si="3"/>
        <v>15.08</v>
      </c>
    </row>
    <row r="63" spans="1:17" x14ac:dyDescent="0.3">
      <c r="A63" s="2" t="s">
        <v>38</v>
      </c>
      <c r="B63" s="2" t="str">
        <f t="shared" si="2"/>
        <v>Thursday</v>
      </c>
      <c r="C63" s="2" cm="1">
        <f t="array" ref="C63">_xlfn.IFS(B63="Monday",1,B63="Tuesday",2,B63="Wednesday",3,B63="Thursday",4,B63="Friday",5,B63="Saturday",6,B63="Sunday",7)</f>
        <v>4</v>
      </c>
      <c r="D63" s="2" t="s">
        <v>24</v>
      </c>
      <c r="E63" s="2" t="s">
        <v>33</v>
      </c>
      <c r="F63" s="2" t="s">
        <v>17</v>
      </c>
      <c r="G63" s="2" t="s">
        <v>49</v>
      </c>
      <c r="H63" s="2" t="s">
        <v>19</v>
      </c>
      <c r="I63" s="2">
        <v>5</v>
      </c>
      <c r="J63" s="3">
        <v>105.64</v>
      </c>
      <c r="K63" s="3">
        <v>154.18</v>
      </c>
      <c r="L63" s="3">
        <v>528.20000000000005</v>
      </c>
      <c r="M63" s="3">
        <v>770.9</v>
      </c>
      <c r="N63" s="3">
        <v>242.7</v>
      </c>
      <c r="O63" s="2">
        <v>3</v>
      </c>
      <c r="P63" s="7">
        <v>1</v>
      </c>
      <c r="Q63" s="3">
        <f t="shared" si="3"/>
        <v>48.54</v>
      </c>
    </row>
    <row r="64" spans="1:17" x14ac:dyDescent="0.3">
      <c r="A64" s="2" t="s">
        <v>38</v>
      </c>
      <c r="B64" s="2" t="str">
        <f t="shared" si="2"/>
        <v>Thursday</v>
      </c>
      <c r="C64" s="2" cm="1">
        <f t="array" ref="C64">_xlfn.IFS(B64="Monday",1,B64="Tuesday",2,B64="Wednesday",3,B64="Thursday",4,B64="Friday",5,B64="Saturday",6,B64="Sunday",7)</f>
        <v>4</v>
      </c>
      <c r="D64" s="2" t="s">
        <v>15</v>
      </c>
      <c r="E64" s="2" t="s">
        <v>25</v>
      </c>
      <c r="F64" s="2" t="s">
        <v>21</v>
      </c>
      <c r="G64" s="2" t="s">
        <v>39</v>
      </c>
      <c r="H64" s="2" t="s">
        <v>37</v>
      </c>
      <c r="I64" s="2">
        <v>1</v>
      </c>
      <c r="J64" s="3">
        <v>41.68</v>
      </c>
      <c r="K64" s="3">
        <v>59.2</v>
      </c>
      <c r="L64" s="3">
        <v>41.68</v>
      </c>
      <c r="M64" s="3">
        <v>59.2</v>
      </c>
      <c r="N64" s="3">
        <v>17.52</v>
      </c>
      <c r="O64" s="2">
        <v>3</v>
      </c>
      <c r="P64" s="7">
        <v>2</v>
      </c>
      <c r="Q64" s="3">
        <f t="shared" si="3"/>
        <v>17.52</v>
      </c>
    </row>
    <row r="65" spans="1:17" x14ac:dyDescent="0.3">
      <c r="A65" s="2" t="s">
        <v>64</v>
      </c>
      <c r="B65" s="2" t="str">
        <f t="shared" si="2"/>
        <v>Friday</v>
      </c>
      <c r="C65" s="2" cm="1">
        <f t="array" ref="C65">_xlfn.IFS(B65="Monday",1,B65="Tuesday",2,B65="Wednesday",3,B65="Thursday",4,B65="Friday",5,B65="Saturday",6,B65="Sunday",7)</f>
        <v>5</v>
      </c>
      <c r="D65" s="2" t="s">
        <v>15</v>
      </c>
      <c r="E65" s="2" t="s">
        <v>27</v>
      </c>
      <c r="F65" s="2" t="s">
        <v>21</v>
      </c>
      <c r="G65" s="2" t="s">
        <v>60</v>
      </c>
      <c r="H65" s="2" t="s">
        <v>30</v>
      </c>
      <c r="I65" s="2">
        <v>10</v>
      </c>
      <c r="J65" s="3">
        <v>60.59</v>
      </c>
      <c r="K65" s="3">
        <v>104.3</v>
      </c>
      <c r="L65" s="3">
        <v>605.9</v>
      </c>
      <c r="M65" s="3">
        <v>1043</v>
      </c>
      <c r="N65" s="3">
        <v>437.1</v>
      </c>
      <c r="O65" s="2">
        <v>7</v>
      </c>
      <c r="P65" s="7">
        <v>3</v>
      </c>
      <c r="Q65" s="3">
        <f t="shared" si="3"/>
        <v>43.71</v>
      </c>
    </row>
    <row r="66" spans="1:17" x14ac:dyDescent="0.3">
      <c r="A66" s="2" t="s">
        <v>65</v>
      </c>
      <c r="B66" s="2" t="str">
        <f t="shared" ref="B66:B97" si="4">TEXT(DAY(A66),"dddd")</f>
        <v>Friday</v>
      </c>
      <c r="C66" s="2" cm="1">
        <f t="array" ref="C66">_xlfn.IFS(B66="Monday",1,B66="Tuesday",2,B66="Wednesday",3,B66="Thursday",4,B66="Friday",5,B66="Saturday",6,B66="Sunday",7)</f>
        <v>5</v>
      </c>
      <c r="D66" s="2" t="s">
        <v>15</v>
      </c>
      <c r="E66" s="2" t="s">
        <v>33</v>
      </c>
      <c r="F66" s="2" t="s">
        <v>21</v>
      </c>
      <c r="G66" s="2" t="s">
        <v>22</v>
      </c>
      <c r="H66" s="2" t="s">
        <v>37</v>
      </c>
      <c r="I66" s="2">
        <v>8</v>
      </c>
      <c r="J66" s="3">
        <v>104.05</v>
      </c>
      <c r="K66" s="3">
        <v>135.44</v>
      </c>
      <c r="L66" s="3">
        <v>832.4</v>
      </c>
      <c r="M66" s="3">
        <v>1083.52</v>
      </c>
      <c r="N66" s="3">
        <v>251.12</v>
      </c>
      <c r="O66" s="2">
        <v>2</v>
      </c>
      <c r="P66" s="7">
        <v>4</v>
      </c>
      <c r="Q66" s="3">
        <f t="shared" ref="Q66:Q101" si="5">N66/I66</f>
        <v>31.39</v>
      </c>
    </row>
    <row r="67" spans="1:17" x14ac:dyDescent="0.3">
      <c r="A67" s="2" t="s">
        <v>107</v>
      </c>
      <c r="B67" s="2" t="str">
        <f t="shared" si="4"/>
        <v>Friday</v>
      </c>
      <c r="C67" s="2" cm="1">
        <f t="array" ref="C67">_xlfn.IFS(B67="Monday",1,B67="Tuesday",2,B67="Wednesday",3,B67="Thursday",4,B67="Friday",5,B67="Saturday",6,B67="Sunday",7)</f>
        <v>5</v>
      </c>
      <c r="D67" s="2" t="s">
        <v>24</v>
      </c>
      <c r="E67" s="2" t="s">
        <v>16</v>
      </c>
      <c r="F67" s="2" t="s">
        <v>21</v>
      </c>
      <c r="G67" s="2" t="s">
        <v>39</v>
      </c>
      <c r="H67" s="2" t="s">
        <v>19</v>
      </c>
      <c r="I67" s="2">
        <v>8</v>
      </c>
      <c r="J67" s="3">
        <v>117.02</v>
      </c>
      <c r="K67" s="3">
        <v>190.22</v>
      </c>
      <c r="L67" s="3">
        <v>936.16</v>
      </c>
      <c r="M67" s="3">
        <v>1521.76</v>
      </c>
      <c r="N67" s="3">
        <v>585.6</v>
      </c>
      <c r="O67" s="2">
        <v>2</v>
      </c>
      <c r="P67" s="7">
        <v>5</v>
      </c>
      <c r="Q67" s="3">
        <f t="shared" si="5"/>
        <v>73.2</v>
      </c>
    </row>
    <row r="68" spans="1:17" x14ac:dyDescent="0.3">
      <c r="A68" s="2" t="s">
        <v>107</v>
      </c>
      <c r="B68" s="2" t="str">
        <f t="shared" si="4"/>
        <v>Friday</v>
      </c>
      <c r="C68" s="2" cm="1">
        <f t="array" ref="C68">_xlfn.IFS(B68="Monday",1,B68="Tuesday",2,B68="Wednesday",3,B68="Thursday",4,B68="Friday",5,B68="Saturday",6,B68="Sunday",7)</f>
        <v>5</v>
      </c>
      <c r="D68" s="2" t="s">
        <v>15</v>
      </c>
      <c r="E68" s="2" t="s">
        <v>16</v>
      </c>
      <c r="F68" s="2" t="s">
        <v>21</v>
      </c>
      <c r="G68" s="2" t="s">
        <v>39</v>
      </c>
      <c r="H68" s="2" t="s">
        <v>19</v>
      </c>
      <c r="I68" s="2">
        <v>1</v>
      </c>
      <c r="J68" s="3">
        <v>37.53</v>
      </c>
      <c r="K68" s="3">
        <v>65.77</v>
      </c>
      <c r="L68" s="3">
        <v>37.53</v>
      </c>
      <c r="M68" s="3">
        <v>65.77</v>
      </c>
      <c r="N68" s="3">
        <v>28.24</v>
      </c>
      <c r="O68" s="2">
        <v>4</v>
      </c>
      <c r="P68" s="7">
        <v>5</v>
      </c>
      <c r="Q68" s="3">
        <f t="shared" si="5"/>
        <v>28.24</v>
      </c>
    </row>
    <row r="69" spans="1:17" x14ac:dyDescent="0.3">
      <c r="A69" s="2" t="s">
        <v>41</v>
      </c>
      <c r="B69" s="2" t="str">
        <f t="shared" si="4"/>
        <v>Friday</v>
      </c>
      <c r="C69" s="2" cm="1">
        <f t="array" ref="C69">_xlfn.IFS(B69="Monday",1,B69="Tuesday",2,B69="Wednesday",3,B69="Thursday",4,B69="Friday",5,B69="Saturday",6,B69="Sunday",7)</f>
        <v>5</v>
      </c>
      <c r="D69" s="2" t="s">
        <v>24</v>
      </c>
      <c r="E69" s="2" t="s">
        <v>27</v>
      </c>
      <c r="F69" s="2" t="s">
        <v>28</v>
      </c>
      <c r="G69" s="2" t="s">
        <v>29</v>
      </c>
      <c r="H69" s="2" t="s">
        <v>19</v>
      </c>
      <c r="I69" s="2">
        <v>9</v>
      </c>
      <c r="J69" s="3">
        <v>103.97</v>
      </c>
      <c r="K69" s="3">
        <v>135.93</v>
      </c>
      <c r="L69" s="3">
        <v>935.73</v>
      </c>
      <c r="M69" s="3">
        <v>1223.3699999999999</v>
      </c>
      <c r="N69" s="3">
        <v>287.64</v>
      </c>
      <c r="O69" s="2">
        <v>1</v>
      </c>
      <c r="P69" s="7">
        <v>1</v>
      </c>
      <c r="Q69" s="3">
        <f t="shared" si="5"/>
        <v>31.959999999999997</v>
      </c>
    </row>
    <row r="70" spans="1:17" x14ac:dyDescent="0.3">
      <c r="A70" s="2" t="s">
        <v>109</v>
      </c>
      <c r="B70" s="2" t="str">
        <f t="shared" si="4"/>
        <v>Friday</v>
      </c>
      <c r="C70" s="2" cm="1">
        <f t="array" ref="C70">_xlfn.IFS(B70="Monday",1,B70="Tuesday",2,B70="Wednesday",3,B70="Thursday",4,B70="Friday",5,B70="Saturday",6,B70="Sunday",7)</f>
        <v>5</v>
      </c>
      <c r="D70" s="2" t="s">
        <v>24</v>
      </c>
      <c r="E70" s="2" t="s">
        <v>25</v>
      </c>
      <c r="F70" s="2" t="s">
        <v>21</v>
      </c>
      <c r="G70" s="2" t="s">
        <v>39</v>
      </c>
      <c r="H70" s="2" t="s">
        <v>30</v>
      </c>
      <c r="I70" s="2">
        <v>9</v>
      </c>
      <c r="J70" s="3">
        <v>84.54</v>
      </c>
      <c r="K70" s="3">
        <v>144.63</v>
      </c>
      <c r="L70" s="3">
        <v>760.86</v>
      </c>
      <c r="M70" s="3">
        <v>1301.67</v>
      </c>
      <c r="N70" s="3">
        <v>540.80999999999995</v>
      </c>
      <c r="O70" s="2">
        <v>5</v>
      </c>
      <c r="P70" s="7">
        <v>3</v>
      </c>
      <c r="Q70" s="3">
        <f t="shared" si="5"/>
        <v>60.089999999999996</v>
      </c>
    </row>
    <row r="71" spans="1:17" x14ac:dyDescent="0.3">
      <c r="A71" s="2" t="s">
        <v>103</v>
      </c>
      <c r="B71" s="2" t="str">
        <f t="shared" si="4"/>
        <v>Friday</v>
      </c>
      <c r="C71" s="2" cm="1">
        <f t="array" ref="C71">_xlfn.IFS(B71="Monday",1,B71="Tuesday",2,B71="Wednesday",3,B71="Thursday",4,B71="Friday",5,B71="Saturday",6,B71="Sunday",7)</f>
        <v>5</v>
      </c>
      <c r="D71" s="2" t="s">
        <v>15</v>
      </c>
      <c r="E71" s="2" t="s">
        <v>16</v>
      </c>
      <c r="F71" s="2" t="s">
        <v>21</v>
      </c>
      <c r="G71" s="2" t="s">
        <v>22</v>
      </c>
      <c r="H71" s="2" t="s">
        <v>19</v>
      </c>
      <c r="I71" s="2">
        <v>7</v>
      </c>
      <c r="J71" s="3">
        <v>66.239999999999995</v>
      </c>
      <c r="K71" s="3">
        <v>102.02</v>
      </c>
      <c r="L71" s="3">
        <v>463.68</v>
      </c>
      <c r="M71" s="3">
        <v>714.14</v>
      </c>
      <c r="N71" s="3">
        <v>250.46</v>
      </c>
      <c r="O71" s="2">
        <v>5</v>
      </c>
      <c r="P71" s="7">
        <v>3</v>
      </c>
      <c r="Q71" s="3">
        <f t="shared" si="5"/>
        <v>35.78</v>
      </c>
    </row>
    <row r="72" spans="1:17" x14ac:dyDescent="0.3">
      <c r="A72" s="2" t="s">
        <v>100</v>
      </c>
      <c r="B72" s="2" t="str">
        <f t="shared" si="4"/>
        <v>Friday</v>
      </c>
      <c r="C72" s="2" cm="1">
        <f t="array" ref="C72">_xlfn.IFS(B72="Monday",1,B72="Tuesday",2,B72="Wednesday",3,B72="Thursday",4,B72="Friday",5,B72="Saturday",6,B72="Sunday",7)</f>
        <v>5</v>
      </c>
      <c r="D72" s="2" t="s">
        <v>15</v>
      </c>
      <c r="E72" s="2" t="s">
        <v>27</v>
      </c>
      <c r="F72" s="2" t="s">
        <v>21</v>
      </c>
      <c r="G72" s="2" t="s">
        <v>60</v>
      </c>
      <c r="H72" s="2" t="s">
        <v>19</v>
      </c>
      <c r="I72" s="2">
        <v>2</v>
      </c>
      <c r="J72" s="3">
        <v>109.09</v>
      </c>
      <c r="K72" s="3">
        <v>181.75</v>
      </c>
      <c r="L72" s="3">
        <v>218.18</v>
      </c>
      <c r="M72" s="3">
        <v>363.5</v>
      </c>
      <c r="N72" s="3">
        <v>145.32</v>
      </c>
      <c r="O72" s="2">
        <v>4</v>
      </c>
      <c r="P72" s="7">
        <v>3</v>
      </c>
      <c r="Q72" s="3">
        <f t="shared" si="5"/>
        <v>72.66</v>
      </c>
    </row>
    <row r="73" spans="1:17" x14ac:dyDescent="0.3">
      <c r="A73" s="2" t="s">
        <v>108</v>
      </c>
      <c r="B73" s="2" t="str">
        <f t="shared" si="4"/>
        <v>Friday</v>
      </c>
      <c r="C73" s="2" cm="1">
        <f t="array" ref="C73">_xlfn.IFS(B73="Monday",1,B73="Tuesday",2,B73="Wednesday",3,B73="Thursday",4,B73="Friday",5,B73="Saturday",6,B73="Sunday",7)</f>
        <v>5</v>
      </c>
      <c r="D73" s="2" t="s">
        <v>24</v>
      </c>
      <c r="E73" s="2" t="s">
        <v>25</v>
      </c>
      <c r="F73" s="2" t="s">
        <v>21</v>
      </c>
      <c r="G73" s="2" t="s">
        <v>60</v>
      </c>
      <c r="H73" s="2" t="s">
        <v>30</v>
      </c>
      <c r="I73" s="2">
        <v>4</v>
      </c>
      <c r="J73" s="3">
        <v>78.91</v>
      </c>
      <c r="K73" s="3">
        <v>120.91</v>
      </c>
      <c r="L73" s="3">
        <v>315.64</v>
      </c>
      <c r="M73" s="3">
        <v>483.64</v>
      </c>
      <c r="N73" s="3">
        <v>168</v>
      </c>
      <c r="O73" s="2">
        <v>6</v>
      </c>
      <c r="P73" s="7">
        <v>3</v>
      </c>
      <c r="Q73" s="3">
        <f t="shared" si="5"/>
        <v>42</v>
      </c>
    </row>
    <row r="74" spans="1:17" x14ac:dyDescent="0.3">
      <c r="A74" s="2" t="s">
        <v>91</v>
      </c>
      <c r="B74" s="2" t="str">
        <f t="shared" si="4"/>
        <v>Friday</v>
      </c>
      <c r="C74" s="2" cm="1">
        <f t="array" ref="C74">_xlfn.IFS(B74="Monday",1,B74="Tuesday",2,B74="Wednesday",3,B74="Thursday",4,B74="Friday",5,B74="Saturday",6,B74="Sunday",7)</f>
        <v>5</v>
      </c>
      <c r="D74" s="2" t="s">
        <v>15</v>
      </c>
      <c r="E74" s="2" t="s">
        <v>16</v>
      </c>
      <c r="F74" s="2" t="s">
        <v>28</v>
      </c>
      <c r="G74" s="2" t="s">
        <v>69</v>
      </c>
      <c r="H74" s="2" t="s">
        <v>19</v>
      </c>
      <c r="I74" s="2">
        <v>6</v>
      </c>
      <c r="J74" s="3">
        <v>72.989999999999995</v>
      </c>
      <c r="K74" s="3">
        <v>120.53</v>
      </c>
      <c r="L74" s="3">
        <v>437.94</v>
      </c>
      <c r="M74" s="3">
        <v>723.18</v>
      </c>
      <c r="N74" s="3">
        <v>285.24</v>
      </c>
      <c r="O74" s="2">
        <v>4</v>
      </c>
      <c r="P74" s="7">
        <v>1</v>
      </c>
      <c r="Q74" s="3">
        <f t="shared" si="5"/>
        <v>47.54</v>
      </c>
    </row>
    <row r="75" spans="1:17" x14ac:dyDescent="0.3">
      <c r="A75" s="2" t="s">
        <v>86</v>
      </c>
      <c r="B75" s="2" t="str">
        <f t="shared" si="4"/>
        <v>Friday</v>
      </c>
      <c r="C75" s="2" cm="1">
        <f t="array" ref="C75">_xlfn.IFS(B75="Monday",1,B75="Tuesday",2,B75="Wednesday",3,B75="Thursday",4,B75="Friday",5,B75="Saturday",6,B75="Sunday",7)</f>
        <v>5</v>
      </c>
      <c r="D75" s="2" t="s">
        <v>15</v>
      </c>
      <c r="E75" s="2" t="s">
        <v>25</v>
      </c>
      <c r="F75" s="2" t="s">
        <v>21</v>
      </c>
      <c r="G75" s="2" t="s">
        <v>39</v>
      </c>
      <c r="H75" s="2" t="s">
        <v>19</v>
      </c>
      <c r="I75" s="2">
        <v>2</v>
      </c>
      <c r="J75" s="3">
        <v>49.89</v>
      </c>
      <c r="K75" s="3">
        <v>77.61</v>
      </c>
      <c r="L75" s="3">
        <v>99.78</v>
      </c>
      <c r="M75" s="3">
        <v>155.22</v>
      </c>
      <c r="N75" s="3">
        <v>55.44</v>
      </c>
      <c r="O75" s="2">
        <v>3</v>
      </c>
      <c r="P75" s="7">
        <v>3</v>
      </c>
      <c r="Q75" s="3">
        <f t="shared" si="5"/>
        <v>27.72</v>
      </c>
    </row>
    <row r="76" spans="1:17" x14ac:dyDescent="0.3">
      <c r="A76" s="2" t="s">
        <v>70</v>
      </c>
      <c r="B76" s="2" t="str">
        <f t="shared" si="4"/>
        <v>Friday</v>
      </c>
      <c r="C76" s="2" cm="1">
        <f t="array" ref="C76">_xlfn.IFS(B76="Monday",1,B76="Tuesday",2,B76="Wednesday",3,B76="Thursday",4,B76="Friday",5,B76="Saturday",6,B76="Sunday",7)</f>
        <v>5</v>
      </c>
      <c r="D76" s="2" t="s">
        <v>24</v>
      </c>
      <c r="E76" s="2" t="s">
        <v>33</v>
      </c>
      <c r="F76" s="2" t="s">
        <v>28</v>
      </c>
      <c r="G76" s="2" t="s">
        <v>29</v>
      </c>
      <c r="H76" s="2" t="s">
        <v>19</v>
      </c>
      <c r="I76" s="2">
        <v>1</v>
      </c>
      <c r="J76" s="3">
        <v>47.4</v>
      </c>
      <c r="K76" s="3">
        <v>67.16</v>
      </c>
      <c r="L76" s="3">
        <v>47.4</v>
      </c>
      <c r="M76" s="3">
        <v>67.16</v>
      </c>
      <c r="N76" s="3">
        <v>19.760000000000002</v>
      </c>
      <c r="O76" s="2">
        <v>2</v>
      </c>
      <c r="P76" s="7">
        <v>5</v>
      </c>
      <c r="Q76" s="3">
        <f t="shared" si="5"/>
        <v>19.760000000000002</v>
      </c>
    </row>
    <row r="77" spans="1:17" x14ac:dyDescent="0.3">
      <c r="A77" s="2" t="s">
        <v>32</v>
      </c>
      <c r="B77" s="2" t="str">
        <f t="shared" si="4"/>
        <v>Saturday</v>
      </c>
      <c r="C77" s="2" cm="1">
        <f t="array" ref="C77">_xlfn.IFS(B77="Monday",1,B77="Tuesday",2,B77="Wednesday",3,B77="Thursday",4,B77="Friday",5,B77="Saturday",6,B77="Sunday",7)</f>
        <v>6</v>
      </c>
      <c r="D77" s="2" t="s">
        <v>15</v>
      </c>
      <c r="E77" s="2" t="s">
        <v>33</v>
      </c>
      <c r="F77" s="2" t="s">
        <v>21</v>
      </c>
      <c r="G77" s="2" t="s">
        <v>22</v>
      </c>
      <c r="H77" s="2" t="s">
        <v>19</v>
      </c>
      <c r="I77" s="2">
        <v>9</v>
      </c>
      <c r="J77" s="3">
        <v>108.59</v>
      </c>
      <c r="K77" s="3">
        <v>182.16</v>
      </c>
      <c r="L77" s="3">
        <v>977.31</v>
      </c>
      <c r="M77" s="3">
        <v>1639.44</v>
      </c>
      <c r="N77" s="3">
        <v>662.13</v>
      </c>
      <c r="O77" s="2">
        <v>1</v>
      </c>
      <c r="P77" s="7">
        <v>1</v>
      </c>
      <c r="Q77" s="3">
        <f t="shared" si="5"/>
        <v>73.569999999999993</v>
      </c>
    </row>
    <row r="78" spans="1:17" x14ac:dyDescent="0.3">
      <c r="A78" s="2" t="s">
        <v>32</v>
      </c>
      <c r="B78" s="2" t="str">
        <f t="shared" si="4"/>
        <v>Saturday</v>
      </c>
      <c r="C78" s="2" cm="1">
        <f t="array" ref="C78">_xlfn.IFS(B78="Monday",1,B78="Tuesday",2,B78="Wednesday",3,B78="Thursday",4,B78="Friday",5,B78="Saturday",6,B78="Sunday",7)</f>
        <v>6</v>
      </c>
      <c r="D78" s="2" t="s">
        <v>15</v>
      </c>
      <c r="E78" s="2" t="s">
        <v>25</v>
      </c>
      <c r="F78" s="2" t="s">
        <v>17</v>
      </c>
      <c r="G78" s="2" t="s">
        <v>18</v>
      </c>
      <c r="H78" s="2" t="s">
        <v>19</v>
      </c>
      <c r="I78" s="2">
        <v>3</v>
      </c>
      <c r="J78" s="3">
        <v>116.03</v>
      </c>
      <c r="K78" s="3">
        <v>180.62</v>
      </c>
      <c r="L78" s="3">
        <v>348.09</v>
      </c>
      <c r="M78" s="3">
        <v>541.86</v>
      </c>
      <c r="N78" s="3">
        <v>193.77</v>
      </c>
      <c r="O78" s="2">
        <v>1</v>
      </c>
      <c r="P78" s="7">
        <v>3</v>
      </c>
      <c r="Q78" s="3">
        <f t="shared" si="5"/>
        <v>64.59</v>
      </c>
    </row>
    <row r="79" spans="1:17" x14ac:dyDescent="0.3">
      <c r="A79" s="2" t="s">
        <v>89</v>
      </c>
      <c r="B79" s="2" t="str">
        <f t="shared" si="4"/>
        <v>Saturday</v>
      </c>
      <c r="C79" s="2" cm="1">
        <f t="array" ref="C79">_xlfn.IFS(B79="Monday",1,B79="Tuesday",2,B79="Wednesday",3,B79="Thursday",4,B79="Friday",5,B79="Saturday",6,B79="Sunday",7)</f>
        <v>6</v>
      </c>
      <c r="D79" s="2" t="s">
        <v>24</v>
      </c>
      <c r="E79" s="2" t="s">
        <v>16</v>
      </c>
      <c r="F79" s="2" t="s">
        <v>17</v>
      </c>
      <c r="G79" s="2" t="s">
        <v>43</v>
      </c>
      <c r="H79" s="2" t="s">
        <v>30</v>
      </c>
      <c r="I79" s="2">
        <v>9</v>
      </c>
      <c r="J79" s="3">
        <v>35.82</v>
      </c>
      <c r="K79" s="3">
        <v>57.66</v>
      </c>
      <c r="L79" s="3">
        <v>322.38</v>
      </c>
      <c r="M79" s="3">
        <v>518.94000000000005</v>
      </c>
      <c r="N79" s="3">
        <v>196.56</v>
      </c>
      <c r="O79" s="2">
        <v>10</v>
      </c>
      <c r="P79" s="7">
        <v>1</v>
      </c>
      <c r="Q79" s="3">
        <f t="shared" si="5"/>
        <v>21.84</v>
      </c>
    </row>
    <row r="80" spans="1:17" x14ac:dyDescent="0.3">
      <c r="A80" s="2" t="s">
        <v>52</v>
      </c>
      <c r="B80" s="2" t="str">
        <f t="shared" si="4"/>
        <v>Saturday</v>
      </c>
      <c r="C80" s="2" cm="1">
        <f t="array" ref="C80">_xlfn.IFS(B80="Monday",1,B80="Tuesday",2,B80="Wednesday",3,B80="Thursday",4,B80="Friday",5,B80="Saturday",6,B80="Sunday",7)</f>
        <v>6</v>
      </c>
      <c r="D80" s="2" t="s">
        <v>15</v>
      </c>
      <c r="E80" s="2" t="s">
        <v>25</v>
      </c>
      <c r="F80" s="2" t="s">
        <v>17</v>
      </c>
      <c r="G80" s="2" t="s">
        <v>43</v>
      </c>
      <c r="H80" s="2" t="s">
        <v>19</v>
      </c>
      <c r="I80" s="2">
        <v>1</v>
      </c>
      <c r="J80" s="3">
        <v>54.11</v>
      </c>
      <c r="K80" s="3">
        <v>88.91</v>
      </c>
      <c r="L80" s="3">
        <v>54.11</v>
      </c>
      <c r="M80" s="3">
        <v>88.91</v>
      </c>
      <c r="N80" s="3">
        <v>34.799999999999997</v>
      </c>
      <c r="O80" s="2">
        <v>3</v>
      </c>
      <c r="P80" s="7">
        <v>5</v>
      </c>
      <c r="Q80" s="3">
        <f t="shared" si="5"/>
        <v>34.799999999999997</v>
      </c>
    </row>
    <row r="81" spans="1:17" x14ac:dyDescent="0.3">
      <c r="A81" s="2" t="s">
        <v>52</v>
      </c>
      <c r="B81" s="2" t="str">
        <f t="shared" si="4"/>
        <v>Saturday</v>
      </c>
      <c r="C81" s="2" cm="1">
        <f t="array" ref="C81">_xlfn.IFS(B81="Monday",1,B81="Tuesday",2,B81="Wednesday",3,B81="Thursday",4,B81="Friday",5,B81="Saturday",6,B81="Sunday",7)</f>
        <v>6</v>
      </c>
      <c r="D81" s="2" t="s">
        <v>15</v>
      </c>
      <c r="E81" s="2" t="s">
        <v>27</v>
      </c>
      <c r="F81" s="2" t="s">
        <v>28</v>
      </c>
      <c r="G81" s="2" t="s">
        <v>35</v>
      </c>
      <c r="H81" s="2" t="s">
        <v>37</v>
      </c>
      <c r="I81" s="2">
        <v>2</v>
      </c>
      <c r="J81" s="3">
        <v>72.52</v>
      </c>
      <c r="K81" s="3">
        <v>99.47</v>
      </c>
      <c r="L81" s="3">
        <v>145.04</v>
      </c>
      <c r="M81" s="3">
        <v>198.94</v>
      </c>
      <c r="N81" s="3">
        <v>53.9</v>
      </c>
      <c r="O81" s="2">
        <v>3</v>
      </c>
      <c r="P81" s="7">
        <v>3</v>
      </c>
      <c r="Q81" s="3">
        <f t="shared" si="5"/>
        <v>26.95</v>
      </c>
    </row>
    <row r="82" spans="1:17" x14ac:dyDescent="0.3">
      <c r="A82" s="2" t="s">
        <v>93</v>
      </c>
      <c r="B82" s="2" t="str">
        <f t="shared" si="4"/>
        <v>Saturday</v>
      </c>
      <c r="C82" s="2" cm="1">
        <f t="array" ref="C82">_xlfn.IFS(B82="Monday",1,B82="Tuesday",2,B82="Wednesday",3,B82="Thursday",4,B82="Friday",5,B82="Saturday",6,B82="Sunday",7)</f>
        <v>6</v>
      </c>
      <c r="D82" s="2" t="s">
        <v>24</v>
      </c>
      <c r="E82" s="2" t="s">
        <v>27</v>
      </c>
      <c r="F82" s="2" t="s">
        <v>21</v>
      </c>
      <c r="G82" s="2" t="s">
        <v>60</v>
      </c>
      <c r="H82" s="2" t="s">
        <v>37</v>
      </c>
      <c r="I82" s="2">
        <v>1</v>
      </c>
      <c r="J82" s="3">
        <v>95.52</v>
      </c>
      <c r="K82" s="3">
        <v>132.41999999999999</v>
      </c>
      <c r="L82" s="3">
        <v>95.52</v>
      </c>
      <c r="M82" s="3">
        <v>132.41999999999999</v>
      </c>
      <c r="N82" s="3">
        <v>36.9</v>
      </c>
      <c r="O82" s="2">
        <v>3</v>
      </c>
      <c r="P82" s="7">
        <v>2</v>
      </c>
      <c r="Q82" s="3">
        <f t="shared" si="5"/>
        <v>36.9</v>
      </c>
    </row>
    <row r="83" spans="1:17" x14ac:dyDescent="0.3">
      <c r="A83" s="2" t="s">
        <v>83</v>
      </c>
      <c r="B83" s="2" t="str">
        <f t="shared" si="4"/>
        <v>Saturday</v>
      </c>
      <c r="C83" s="2" cm="1">
        <f t="array" ref="C83">_xlfn.IFS(B83="Monday",1,B83="Tuesday",2,B83="Wednesday",3,B83="Thursday",4,B83="Friday",5,B83="Saturday",6,B83="Sunday",7)</f>
        <v>6</v>
      </c>
      <c r="D83" s="2" t="s">
        <v>24</v>
      </c>
      <c r="E83" s="2" t="s">
        <v>16</v>
      </c>
      <c r="F83" s="2" t="s">
        <v>21</v>
      </c>
      <c r="G83" s="2" t="s">
        <v>22</v>
      </c>
      <c r="H83" s="2" t="s">
        <v>19</v>
      </c>
      <c r="I83" s="2">
        <v>10</v>
      </c>
      <c r="J83" s="3">
        <v>44.49</v>
      </c>
      <c r="K83" s="3">
        <v>79.08</v>
      </c>
      <c r="L83" s="3">
        <v>444.9</v>
      </c>
      <c r="M83" s="3">
        <v>790.8</v>
      </c>
      <c r="N83" s="3">
        <v>345.9</v>
      </c>
      <c r="O83" s="2">
        <v>3</v>
      </c>
      <c r="P83" s="7">
        <v>3</v>
      </c>
      <c r="Q83" s="3">
        <f t="shared" si="5"/>
        <v>34.589999999999996</v>
      </c>
    </row>
    <row r="84" spans="1:17" x14ac:dyDescent="0.3">
      <c r="A84" s="2" t="s">
        <v>56</v>
      </c>
      <c r="B84" s="2" t="str">
        <f t="shared" si="4"/>
        <v>Saturday</v>
      </c>
      <c r="C84" s="2" cm="1">
        <f t="array" ref="C84">_xlfn.IFS(B84="Monday",1,B84="Tuesday",2,B84="Wednesday",3,B84="Thursday",4,B84="Friday",5,B84="Saturday",6,B84="Sunday",7)</f>
        <v>6</v>
      </c>
      <c r="D84" s="2" t="s">
        <v>24</v>
      </c>
      <c r="E84" s="2" t="s">
        <v>16</v>
      </c>
      <c r="F84" s="2" t="s">
        <v>21</v>
      </c>
      <c r="G84" s="2" t="s">
        <v>39</v>
      </c>
      <c r="H84" s="2" t="s">
        <v>19</v>
      </c>
      <c r="I84" s="2">
        <v>9</v>
      </c>
      <c r="J84" s="3">
        <v>41.01</v>
      </c>
      <c r="K84" s="3">
        <v>62.19</v>
      </c>
      <c r="L84" s="3">
        <v>369.09</v>
      </c>
      <c r="M84" s="3">
        <v>559.71</v>
      </c>
      <c r="N84" s="3">
        <v>190.62</v>
      </c>
      <c r="O84" s="2">
        <v>2</v>
      </c>
      <c r="P84" s="7">
        <v>2</v>
      </c>
      <c r="Q84" s="3">
        <f t="shared" si="5"/>
        <v>21.18</v>
      </c>
    </row>
    <row r="85" spans="1:17" x14ac:dyDescent="0.3">
      <c r="A85" s="2" t="s">
        <v>87</v>
      </c>
      <c r="B85" s="2" t="str">
        <f t="shared" si="4"/>
        <v>Saturday</v>
      </c>
      <c r="C85" s="2" cm="1">
        <f t="array" ref="C85">_xlfn.IFS(B85="Monday",1,B85="Tuesday",2,B85="Wednesday",3,B85="Thursday",4,B85="Friday",5,B85="Saturday",6,B85="Sunday",7)</f>
        <v>6</v>
      </c>
      <c r="D85" s="2" t="s">
        <v>24</v>
      </c>
      <c r="E85" s="2" t="s">
        <v>27</v>
      </c>
      <c r="F85" s="2" t="s">
        <v>21</v>
      </c>
      <c r="G85" s="2" t="s">
        <v>39</v>
      </c>
      <c r="H85" s="2" t="s">
        <v>37</v>
      </c>
      <c r="I85" s="2">
        <v>2</v>
      </c>
      <c r="J85" s="3">
        <v>108.68</v>
      </c>
      <c r="K85" s="3">
        <v>166</v>
      </c>
      <c r="L85" s="3">
        <v>217.36</v>
      </c>
      <c r="M85" s="3">
        <v>332</v>
      </c>
      <c r="N85" s="3">
        <v>114.64</v>
      </c>
      <c r="O85" s="2">
        <v>4</v>
      </c>
      <c r="P85" s="7">
        <v>3</v>
      </c>
      <c r="Q85" s="3">
        <f t="shared" si="5"/>
        <v>57.32</v>
      </c>
    </row>
    <row r="86" spans="1:17" x14ac:dyDescent="0.3">
      <c r="A86" s="2" t="s">
        <v>115</v>
      </c>
      <c r="B86" s="2" t="str">
        <f t="shared" si="4"/>
        <v>Saturday</v>
      </c>
      <c r="C86" s="2" cm="1">
        <f t="array" ref="C86">_xlfn.IFS(B86="Monday",1,B86="Tuesday",2,B86="Wednesday",3,B86="Thursday",4,B86="Friday",5,B86="Saturday",6,B86="Sunday",7)</f>
        <v>6</v>
      </c>
      <c r="D86" s="2" t="s">
        <v>24</v>
      </c>
      <c r="E86" s="2" t="s">
        <v>25</v>
      </c>
      <c r="F86" s="2" t="s">
        <v>17</v>
      </c>
      <c r="G86" s="2" t="s">
        <v>43</v>
      </c>
      <c r="H86" s="2" t="s">
        <v>19</v>
      </c>
      <c r="I86" s="2">
        <v>4</v>
      </c>
      <c r="J86" s="3">
        <v>33.630000000000003</v>
      </c>
      <c r="K86" s="3">
        <v>48.22</v>
      </c>
      <c r="L86" s="3">
        <v>134.52000000000001</v>
      </c>
      <c r="M86" s="3">
        <v>192.88</v>
      </c>
      <c r="N86" s="3">
        <v>58.36</v>
      </c>
      <c r="O86" s="2">
        <v>4</v>
      </c>
      <c r="P86" s="7">
        <v>2</v>
      </c>
      <c r="Q86" s="3">
        <f t="shared" si="5"/>
        <v>14.59</v>
      </c>
    </row>
    <row r="87" spans="1:17" x14ac:dyDescent="0.3">
      <c r="A87" s="2" t="s">
        <v>40</v>
      </c>
      <c r="B87" s="2" t="str">
        <f t="shared" si="4"/>
        <v>Saturday</v>
      </c>
      <c r="C87" s="2" cm="1">
        <f t="array" ref="C87">_xlfn.IFS(B87="Monday",1,B87="Tuesday",2,B87="Wednesday",3,B87="Thursday",4,B87="Friday",5,B87="Saturday",6,B87="Sunday",7)</f>
        <v>6</v>
      </c>
      <c r="D87" s="2" t="s">
        <v>24</v>
      </c>
      <c r="E87" s="2" t="s">
        <v>33</v>
      </c>
      <c r="F87" s="2" t="s">
        <v>21</v>
      </c>
      <c r="G87" s="2" t="s">
        <v>39</v>
      </c>
      <c r="H87" s="2" t="s">
        <v>37</v>
      </c>
      <c r="I87" s="2">
        <v>8</v>
      </c>
      <c r="J87" s="3">
        <v>44.25</v>
      </c>
      <c r="K87" s="3">
        <v>61.99</v>
      </c>
      <c r="L87" s="3">
        <v>354</v>
      </c>
      <c r="M87" s="3">
        <v>495.92</v>
      </c>
      <c r="N87" s="3">
        <v>141.91999999999999</v>
      </c>
      <c r="O87" s="2">
        <v>1</v>
      </c>
      <c r="P87" s="7">
        <v>3</v>
      </c>
      <c r="Q87" s="3">
        <f t="shared" si="5"/>
        <v>17.739999999999998</v>
      </c>
    </row>
    <row r="88" spans="1:17" x14ac:dyDescent="0.3">
      <c r="A88" s="2" t="s">
        <v>96</v>
      </c>
      <c r="B88" s="2" t="str">
        <f t="shared" si="4"/>
        <v>Sunday</v>
      </c>
      <c r="C88" s="2" cm="1">
        <f t="array" ref="C88">_xlfn.IFS(B88="Monday",1,B88="Tuesday",2,B88="Wednesday",3,B88="Thursday",4,B88="Friday",5,B88="Saturday",6,B88="Sunday",7)</f>
        <v>7</v>
      </c>
      <c r="D88" s="2" t="s">
        <v>15</v>
      </c>
      <c r="E88" s="2" t="s">
        <v>33</v>
      </c>
      <c r="F88" s="2" t="s">
        <v>21</v>
      </c>
      <c r="G88" s="2" t="s">
        <v>60</v>
      </c>
      <c r="H88" s="2" t="s">
        <v>37</v>
      </c>
      <c r="I88" s="2">
        <v>9</v>
      </c>
      <c r="J88" s="3">
        <v>25.16</v>
      </c>
      <c r="K88" s="3">
        <v>38.57</v>
      </c>
      <c r="L88" s="3">
        <v>226.44</v>
      </c>
      <c r="M88" s="3">
        <v>347.13</v>
      </c>
      <c r="N88" s="3">
        <v>120.69</v>
      </c>
      <c r="O88" s="2">
        <v>2</v>
      </c>
      <c r="P88" s="7">
        <v>5</v>
      </c>
      <c r="Q88" s="3">
        <f t="shared" si="5"/>
        <v>13.41</v>
      </c>
    </row>
    <row r="89" spans="1:17" x14ac:dyDescent="0.3">
      <c r="A89" s="2" t="s">
        <v>98</v>
      </c>
      <c r="B89" s="2" t="str">
        <f t="shared" si="4"/>
        <v>Sunday</v>
      </c>
      <c r="C89" s="2" cm="1">
        <f t="array" ref="C89">_xlfn.IFS(B89="Monday",1,B89="Tuesday",2,B89="Wednesday",3,B89="Thursday",4,B89="Friday",5,B89="Saturday",6,B89="Sunday",7)</f>
        <v>7</v>
      </c>
      <c r="D89" s="2" t="s">
        <v>24</v>
      </c>
      <c r="E89" s="2" t="s">
        <v>27</v>
      </c>
      <c r="F89" s="2" t="s">
        <v>17</v>
      </c>
      <c r="G89" s="2" t="s">
        <v>43</v>
      </c>
      <c r="H89" s="2" t="s">
        <v>30</v>
      </c>
      <c r="I89" s="2">
        <v>5</v>
      </c>
      <c r="J89" s="3">
        <v>55.83</v>
      </c>
      <c r="K89" s="3">
        <v>82.25</v>
      </c>
      <c r="L89" s="3">
        <v>279.14999999999998</v>
      </c>
      <c r="M89" s="3">
        <v>411.25</v>
      </c>
      <c r="N89" s="3">
        <v>132.1</v>
      </c>
      <c r="O89" s="2">
        <v>7</v>
      </c>
      <c r="P89" s="7">
        <v>1</v>
      </c>
      <c r="Q89" s="3">
        <f t="shared" si="5"/>
        <v>26.419999999999998</v>
      </c>
    </row>
    <row r="90" spans="1:17" x14ac:dyDescent="0.3">
      <c r="A90" s="2" t="s">
        <v>46</v>
      </c>
      <c r="B90" s="2" t="str">
        <f t="shared" si="4"/>
        <v>Sunday</v>
      </c>
      <c r="C90" s="2" cm="1">
        <f t="array" ref="C90">_xlfn.IFS(B90="Monday",1,B90="Tuesday",2,B90="Wednesday",3,B90="Thursday",4,B90="Friday",5,B90="Saturday",6,B90="Sunday",7)</f>
        <v>7</v>
      </c>
      <c r="D90" s="2" t="s">
        <v>15</v>
      </c>
      <c r="E90" s="2" t="s">
        <v>27</v>
      </c>
      <c r="F90" s="2" t="s">
        <v>21</v>
      </c>
      <c r="G90" s="2" t="s">
        <v>22</v>
      </c>
      <c r="H90" s="2" t="s">
        <v>37</v>
      </c>
      <c r="I90" s="2">
        <v>1</v>
      </c>
      <c r="J90" s="3">
        <v>83.64</v>
      </c>
      <c r="K90" s="3">
        <v>144.37</v>
      </c>
      <c r="L90" s="3">
        <v>83.64</v>
      </c>
      <c r="M90" s="3">
        <v>144.37</v>
      </c>
      <c r="N90" s="3">
        <v>60.73</v>
      </c>
      <c r="O90" s="2">
        <v>1</v>
      </c>
      <c r="P90" s="7">
        <v>5</v>
      </c>
      <c r="Q90" s="3">
        <f t="shared" si="5"/>
        <v>60.73</v>
      </c>
    </row>
    <row r="91" spans="1:17" x14ac:dyDescent="0.3">
      <c r="A91" s="2" t="s">
        <v>71</v>
      </c>
      <c r="B91" s="2" t="str">
        <f t="shared" si="4"/>
        <v>Sunday</v>
      </c>
      <c r="C91" s="2" cm="1">
        <f t="array" ref="C91">_xlfn.IFS(B91="Monday",1,B91="Tuesday",2,B91="Wednesday",3,B91="Thursday",4,B91="Friday",5,B91="Saturday",6,B91="Sunday",7)</f>
        <v>7</v>
      </c>
      <c r="D91" s="2" t="s">
        <v>15</v>
      </c>
      <c r="E91" s="2" t="s">
        <v>25</v>
      </c>
      <c r="F91" s="2" t="s">
        <v>28</v>
      </c>
      <c r="G91" s="2" t="s">
        <v>35</v>
      </c>
      <c r="H91" s="2" t="s">
        <v>19</v>
      </c>
      <c r="I91" s="2">
        <v>8</v>
      </c>
      <c r="J91" s="3">
        <v>61.08</v>
      </c>
      <c r="K91" s="3">
        <v>79.930000000000007</v>
      </c>
      <c r="L91" s="3">
        <v>488.64</v>
      </c>
      <c r="M91" s="3">
        <v>639.44000000000005</v>
      </c>
      <c r="N91" s="3">
        <v>150.80000000000001</v>
      </c>
      <c r="O91" s="2">
        <v>3</v>
      </c>
      <c r="P91" s="7">
        <v>1</v>
      </c>
      <c r="Q91" s="3">
        <f t="shared" si="5"/>
        <v>18.850000000000001</v>
      </c>
    </row>
    <row r="92" spans="1:17" x14ac:dyDescent="0.3">
      <c r="A92" s="2" t="s">
        <v>71</v>
      </c>
      <c r="B92" s="2" t="str">
        <f t="shared" si="4"/>
        <v>Sunday</v>
      </c>
      <c r="C92" s="2" cm="1">
        <f t="array" ref="C92">_xlfn.IFS(B92="Monday",1,B92="Tuesday",2,B92="Wednesday",3,B92="Thursday",4,B92="Friday",5,B92="Saturday",6,B92="Sunday",7)</f>
        <v>7</v>
      </c>
      <c r="D92" s="2" t="s">
        <v>15</v>
      </c>
      <c r="E92" s="2" t="s">
        <v>33</v>
      </c>
      <c r="F92" s="2" t="s">
        <v>28</v>
      </c>
      <c r="G92" s="2" t="s">
        <v>29</v>
      </c>
      <c r="H92" s="2" t="s">
        <v>30</v>
      </c>
      <c r="I92" s="2">
        <v>4</v>
      </c>
      <c r="J92" s="3">
        <v>114.86</v>
      </c>
      <c r="K92" s="3">
        <v>172.84</v>
      </c>
      <c r="L92" s="3">
        <v>459.44</v>
      </c>
      <c r="M92" s="3">
        <v>691.36</v>
      </c>
      <c r="N92" s="3">
        <v>231.92</v>
      </c>
      <c r="O92" s="2">
        <v>7</v>
      </c>
      <c r="P92" s="7">
        <v>1</v>
      </c>
      <c r="Q92" s="3">
        <f t="shared" si="5"/>
        <v>57.98</v>
      </c>
    </row>
    <row r="93" spans="1:17" x14ac:dyDescent="0.3">
      <c r="A93" s="2" t="s">
        <v>68</v>
      </c>
      <c r="B93" s="2" t="str">
        <f t="shared" si="4"/>
        <v>Sunday</v>
      </c>
      <c r="C93" s="2" cm="1">
        <f t="array" ref="C93">_xlfn.IFS(B93="Monday",1,B93="Tuesday",2,B93="Wednesday",3,B93="Thursday",4,B93="Friday",5,B93="Saturday",6,B93="Sunday",7)</f>
        <v>7</v>
      </c>
      <c r="D93" s="2" t="s">
        <v>24</v>
      </c>
      <c r="E93" s="2" t="s">
        <v>33</v>
      </c>
      <c r="F93" s="2" t="s">
        <v>28</v>
      </c>
      <c r="G93" s="2" t="s">
        <v>69</v>
      </c>
      <c r="H93" s="2" t="s">
        <v>37</v>
      </c>
      <c r="I93" s="2">
        <v>8</v>
      </c>
      <c r="J93" s="3">
        <v>114.3</v>
      </c>
      <c r="K93" s="3">
        <v>169.55</v>
      </c>
      <c r="L93" s="3">
        <v>914.4</v>
      </c>
      <c r="M93" s="3">
        <v>1356.4</v>
      </c>
      <c r="N93" s="3">
        <v>442</v>
      </c>
      <c r="O93" s="2">
        <v>3</v>
      </c>
      <c r="P93" s="7">
        <v>4</v>
      </c>
      <c r="Q93" s="3">
        <f t="shared" si="5"/>
        <v>55.25</v>
      </c>
    </row>
    <row r="94" spans="1:17" x14ac:dyDescent="0.3">
      <c r="A94" s="2" t="s">
        <v>20</v>
      </c>
      <c r="B94" s="2" t="str">
        <f t="shared" si="4"/>
        <v>Sunday</v>
      </c>
      <c r="C94" s="2" cm="1">
        <f t="array" ref="C94">_xlfn.IFS(B94="Monday",1,B94="Tuesday",2,B94="Wednesday",3,B94="Thursday",4,B94="Friday",5,B94="Saturday",6,B94="Sunday",7)</f>
        <v>7</v>
      </c>
      <c r="D94" s="2" t="s">
        <v>15</v>
      </c>
      <c r="E94" s="2" t="s">
        <v>16</v>
      </c>
      <c r="F94" s="2" t="s">
        <v>21</v>
      </c>
      <c r="G94" s="2" t="s">
        <v>22</v>
      </c>
      <c r="H94" s="2" t="s">
        <v>19</v>
      </c>
      <c r="I94" s="2">
        <v>2</v>
      </c>
      <c r="J94" s="3">
        <v>76.89</v>
      </c>
      <c r="K94" s="3">
        <v>106.58</v>
      </c>
      <c r="L94" s="3">
        <v>153.78</v>
      </c>
      <c r="M94" s="3">
        <v>213.16</v>
      </c>
      <c r="N94" s="3">
        <v>59.38</v>
      </c>
      <c r="O94" s="2">
        <v>3</v>
      </c>
      <c r="P94" s="7">
        <v>2</v>
      </c>
      <c r="Q94" s="3">
        <f t="shared" si="5"/>
        <v>29.69</v>
      </c>
    </row>
    <row r="95" spans="1:17" x14ac:dyDescent="0.3">
      <c r="A95" s="2" t="s">
        <v>102</v>
      </c>
      <c r="B95" s="2" t="str">
        <f t="shared" si="4"/>
        <v>Sunday</v>
      </c>
      <c r="C95" s="2" cm="1">
        <f t="array" ref="C95">_xlfn.IFS(B95="Monday",1,B95="Tuesday",2,B95="Wednesday",3,B95="Thursday",4,B95="Friday",5,B95="Saturday",6,B95="Sunday",7)</f>
        <v>7</v>
      </c>
      <c r="D95" s="2" t="s">
        <v>15</v>
      </c>
      <c r="E95" s="2" t="s">
        <v>16</v>
      </c>
      <c r="F95" s="2" t="s">
        <v>17</v>
      </c>
      <c r="G95" s="2" t="s">
        <v>43</v>
      </c>
      <c r="H95" s="2" t="s">
        <v>19</v>
      </c>
      <c r="I95" s="2">
        <v>3</v>
      </c>
      <c r="J95" s="3">
        <v>97.4</v>
      </c>
      <c r="K95" s="3">
        <v>152.87</v>
      </c>
      <c r="L95" s="3">
        <v>292.2</v>
      </c>
      <c r="M95" s="3">
        <v>458.61</v>
      </c>
      <c r="N95" s="3">
        <v>166.41</v>
      </c>
      <c r="O95" s="2">
        <v>1</v>
      </c>
      <c r="P95" s="7">
        <v>4</v>
      </c>
      <c r="Q95" s="3">
        <f t="shared" si="5"/>
        <v>55.47</v>
      </c>
    </row>
    <row r="96" spans="1:17" x14ac:dyDescent="0.3">
      <c r="A96" s="2" t="s">
        <v>82</v>
      </c>
      <c r="B96" s="2" t="str">
        <f t="shared" si="4"/>
        <v>Sunday</v>
      </c>
      <c r="C96" s="2" cm="1">
        <f t="array" ref="C96">_xlfn.IFS(B96="Monday",1,B96="Tuesday",2,B96="Wednesday",3,B96="Thursday",4,B96="Friday",5,B96="Saturday",6,B96="Sunday",7)</f>
        <v>7</v>
      </c>
      <c r="D96" s="2" t="s">
        <v>15</v>
      </c>
      <c r="E96" s="2" t="s">
        <v>27</v>
      </c>
      <c r="F96" s="2" t="s">
        <v>28</v>
      </c>
      <c r="G96" s="2" t="s">
        <v>35</v>
      </c>
      <c r="H96" s="2" t="s">
        <v>37</v>
      </c>
      <c r="I96" s="2">
        <v>1</v>
      </c>
      <c r="J96" s="3">
        <v>91.55</v>
      </c>
      <c r="K96" s="3">
        <v>154.83000000000001</v>
      </c>
      <c r="L96" s="3">
        <v>91.55</v>
      </c>
      <c r="M96" s="3">
        <v>154.83000000000001</v>
      </c>
      <c r="N96" s="3">
        <v>63.28</v>
      </c>
      <c r="O96" s="2">
        <v>4</v>
      </c>
      <c r="P96" s="7">
        <v>5</v>
      </c>
      <c r="Q96" s="3">
        <f t="shared" si="5"/>
        <v>63.28</v>
      </c>
    </row>
    <row r="97" spans="1:17" x14ac:dyDescent="0.3">
      <c r="A97" s="2" t="s">
        <v>67</v>
      </c>
      <c r="B97" s="2" t="str">
        <f t="shared" si="4"/>
        <v>Sunday</v>
      </c>
      <c r="C97" s="2" cm="1">
        <f t="array" ref="C97">_xlfn.IFS(B97="Monday",1,B97="Tuesday",2,B97="Wednesday",3,B97="Thursday",4,B97="Friday",5,B97="Saturday",6,B97="Sunday",7)</f>
        <v>7</v>
      </c>
      <c r="D97" s="2" t="s">
        <v>24</v>
      </c>
      <c r="E97" s="2" t="s">
        <v>25</v>
      </c>
      <c r="F97" s="2" t="s">
        <v>21</v>
      </c>
      <c r="G97" s="2" t="s">
        <v>39</v>
      </c>
      <c r="H97" s="2" t="s">
        <v>30</v>
      </c>
      <c r="I97" s="2">
        <v>2</v>
      </c>
      <c r="J97" s="3">
        <v>79.2</v>
      </c>
      <c r="K97" s="3">
        <v>113.89</v>
      </c>
      <c r="L97" s="3">
        <v>158.4</v>
      </c>
      <c r="M97" s="3">
        <v>227.78</v>
      </c>
      <c r="N97" s="3">
        <v>69.38</v>
      </c>
      <c r="O97" s="2">
        <v>10</v>
      </c>
      <c r="P97" s="7">
        <v>5</v>
      </c>
      <c r="Q97" s="3">
        <f t="shared" si="5"/>
        <v>34.69</v>
      </c>
    </row>
    <row r="98" spans="1:17" x14ac:dyDescent="0.3">
      <c r="A98" s="2" t="s">
        <v>67</v>
      </c>
      <c r="B98" s="2" t="str">
        <f t="shared" ref="B98:B129" si="6">TEXT(DAY(A98),"dddd")</f>
        <v>Sunday</v>
      </c>
      <c r="C98" s="2" cm="1">
        <f t="array" ref="C98">_xlfn.IFS(B98="Monday",1,B98="Tuesday",2,B98="Wednesday",3,B98="Thursday",4,B98="Friday",5,B98="Saturday",6,B98="Sunday",7)</f>
        <v>7</v>
      </c>
      <c r="D98" s="2" t="s">
        <v>24</v>
      </c>
      <c r="E98" s="2" t="s">
        <v>16</v>
      </c>
      <c r="F98" s="2" t="s">
        <v>28</v>
      </c>
      <c r="G98" s="2" t="s">
        <v>69</v>
      </c>
      <c r="H98" s="2" t="s">
        <v>30</v>
      </c>
      <c r="I98" s="2">
        <v>5</v>
      </c>
      <c r="J98" s="3">
        <v>32</v>
      </c>
      <c r="K98" s="3">
        <v>53.06</v>
      </c>
      <c r="L98" s="3">
        <v>160</v>
      </c>
      <c r="M98" s="3">
        <v>265.3</v>
      </c>
      <c r="N98" s="3">
        <v>105.3</v>
      </c>
      <c r="O98" s="2">
        <v>10</v>
      </c>
      <c r="P98" s="7">
        <v>3</v>
      </c>
      <c r="Q98" s="3">
        <f t="shared" si="5"/>
        <v>21.06</v>
      </c>
    </row>
    <row r="99" spans="1:17" x14ac:dyDescent="0.3">
      <c r="A99" s="2" t="s">
        <v>76</v>
      </c>
      <c r="B99" s="2" t="str">
        <f t="shared" si="6"/>
        <v>Sunday</v>
      </c>
      <c r="C99" s="2" cm="1">
        <f t="array" ref="C99">_xlfn.IFS(B99="Monday",1,B99="Tuesday",2,B99="Wednesday",3,B99="Thursday",4,B99="Friday",5,B99="Saturday",6,B99="Sunday",7)</f>
        <v>7</v>
      </c>
      <c r="D99" s="2" t="s">
        <v>24</v>
      </c>
      <c r="E99" s="2" t="s">
        <v>16</v>
      </c>
      <c r="F99" s="2" t="s">
        <v>21</v>
      </c>
      <c r="G99" s="2" t="s">
        <v>39</v>
      </c>
      <c r="H99" s="2" t="s">
        <v>19</v>
      </c>
      <c r="I99" s="2">
        <v>1</v>
      </c>
      <c r="J99" s="3">
        <v>87.43</v>
      </c>
      <c r="K99" s="3">
        <v>127.57</v>
      </c>
      <c r="L99" s="3">
        <v>87.43</v>
      </c>
      <c r="M99" s="3">
        <v>127.57</v>
      </c>
      <c r="N99" s="3">
        <v>40.14</v>
      </c>
      <c r="O99" s="2">
        <v>5</v>
      </c>
      <c r="P99" s="7">
        <v>5</v>
      </c>
      <c r="Q99" s="3">
        <f t="shared" si="5"/>
        <v>40.14</v>
      </c>
    </row>
    <row r="100" spans="1:17" x14ac:dyDescent="0.3">
      <c r="A100" s="2" t="s">
        <v>73</v>
      </c>
      <c r="B100" s="2" t="str">
        <f t="shared" si="6"/>
        <v>Sunday</v>
      </c>
      <c r="C100" s="2" cm="1">
        <f t="array" ref="C100">_xlfn.IFS(B100="Monday",1,B100="Tuesday",2,B100="Wednesday",3,B100="Thursday",4,B100="Friday",5,B100="Saturday",6,B100="Sunday",7)</f>
        <v>7</v>
      </c>
      <c r="D100" s="2" t="s">
        <v>24</v>
      </c>
      <c r="E100" s="2" t="s">
        <v>16</v>
      </c>
      <c r="F100" s="2" t="s">
        <v>17</v>
      </c>
      <c r="G100" s="2" t="s">
        <v>43</v>
      </c>
      <c r="H100" s="2" t="s">
        <v>19</v>
      </c>
      <c r="I100" s="2">
        <v>5</v>
      </c>
      <c r="J100" s="3">
        <v>57.18</v>
      </c>
      <c r="K100" s="3">
        <v>76.599999999999994</v>
      </c>
      <c r="L100" s="3">
        <v>285.89999999999998</v>
      </c>
      <c r="M100" s="3">
        <v>383</v>
      </c>
      <c r="N100" s="3">
        <v>97.1</v>
      </c>
      <c r="O100" s="2">
        <v>2</v>
      </c>
      <c r="P100" s="7">
        <v>4</v>
      </c>
      <c r="Q100" s="3">
        <f t="shared" si="5"/>
        <v>19.419999999999998</v>
      </c>
    </row>
    <row r="101" spans="1:17" x14ac:dyDescent="0.3">
      <c r="A101" s="2" t="s">
        <v>55</v>
      </c>
      <c r="B101" s="2" t="str">
        <f t="shared" si="6"/>
        <v>Sunday</v>
      </c>
      <c r="C101" s="2" cm="1">
        <f t="array" ref="C101">_xlfn.IFS(B101="Monday",1,B101="Tuesday",2,B101="Wednesday",3,B101="Thursday",4,B101="Friday",5,B101="Saturday",6,B101="Sunday",7)</f>
        <v>7</v>
      </c>
      <c r="D101" s="2" t="s">
        <v>24</v>
      </c>
      <c r="E101" s="2" t="s">
        <v>25</v>
      </c>
      <c r="F101" s="2" t="s">
        <v>17</v>
      </c>
      <c r="G101" s="2" t="s">
        <v>49</v>
      </c>
      <c r="H101" s="2" t="s">
        <v>30</v>
      </c>
      <c r="I101" s="2">
        <v>2</v>
      </c>
      <c r="J101" s="3">
        <v>73.59</v>
      </c>
      <c r="K101" s="3">
        <v>105.15</v>
      </c>
      <c r="L101" s="3">
        <v>147.18</v>
      </c>
      <c r="M101" s="3">
        <v>210.3</v>
      </c>
      <c r="N101" s="3">
        <v>63.12</v>
      </c>
      <c r="O101" s="2">
        <v>7</v>
      </c>
      <c r="P101" s="7">
        <v>3</v>
      </c>
      <c r="Q101" s="3">
        <f t="shared" si="5"/>
        <v>31.56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05DF-3B2C-4F0E-B278-D3342825C965}">
  <dimension ref="A1"/>
  <sheetViews>
    <sheetView showGridLines="0" topLeftCell="A7" zoomScale="40" zoomScaleNormal="40" workbookViewId="0">
      <selection activeCell="AQ22" sqref="AQ22"/>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BB33-FE18-46BD-A942-B371E65ACE3C}">
  <dimension ref="A1"/>
  <sheetViews>
    <sheetView showGridLines="0" zoomScale="55" zoomScaleNormal="55" workbookViewId="0">
      <selection activeCell="AF19" sqref="AF19"/>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zoomScale="85" zoomScaleNormal="85" workbookViewId="0">
      <selection activeCell="D14" sqref="D14"/>
    </sheetView>
  </sheetViews>
  <sheetFormatPr defaultRowHeight="14.4" x14ac:dyDescent="0.3"/>
  <cols>
    <col min="1" max="2" width="18.6640625" style="2" customWidth="1"/>
    <col min="3" max="3" width="15.5546875" style="2" customWidth="1"/>
    <col min="4" max="4" width="17.77734375" style="2" customWidth="1"/>
    <col min="5" max="5" width="15" style="2" customWidth="1"/>
    <col min="6" max="6" width="14.44140625" style="2" customWidth="1"/>
    <col min="7" max="7" width="15.5546875" style="2" customWidth="1"/>
    <col min="8" max="8" width="15.88671875" style="2" customWidth="1"/>
    <col min="9" max="9" width="19.5546875" style="3" customWidth="1"/>
    <col min="10" max="10" width="18.6640625" style="3" customWidth="1"/>
    <col min="11" max="12" width="13.77734375" style="3" customWidth="1"/>
    <col min="13" max="13" width="13.6640625" style="3" customWidth="1"/>
    <col min="14" max="14" width="17" style="2" customWidth="1"/>
    <col min="15" max="15" width="13.21875" style="7" customWidth="1"/>
    <col min="16" max="16384" width="8.88671875" style="2"/>
  </cols>
  <sheetData>
    <row r="1" spans="1:16" x14ac:dyDescent="0.3">
      <c r="A1" s="4" t="s">
        <v>0</v>
      </c>
      <c r="B1" s="4" t="s">
        <v>128</v>
      </c>
      <c r="C1" s="4" t="s">
        <v>1</v>
      </c>
      <c r="D1" s="4" t="s">
        <v>2</v>
      </c>
      <c r="E1" s="4" t="s">
        <v>3</v>
      </c>
      <c r="F1" s="4" t="s">
        <v>4</v>
      </c>
      <c r="G1" s="4" t="s">
        <v>5</v>
      </c>
      <c r="H1" s="4" t="s">
        <v>6</v>
      </c>
      <c r="I1" s="5" t="s">
        <v>7</v>
      </c>
      <c r="J1" s="5" t="s">
        <v>8</v>
      </c>
      <c r="K1" s="5" t="s">
        <v>9</v>
      </c>
      <c r="L1" s="5" t="s">
        <v>10</v>
      </c>
      <c r="M1" s="5" t="s">
        <v>11</v>
      </c>
      <c r="N1" s="4" t="s">
        <v>12</v>
      </c>
      <c r="O1" s="6" t="s">
        <v>13</v>
      </c>
      <c r="P1" s="8" t="s">
        <v>118</v>
      </c>
    </row>
    <row r="2" spans="1:16" x14ac:dyDescent="0.3">
      <c r="A2" s="2" t="s">
        <v>34</v>
      </c>
      <c r="B2" s="2" t="str">
        <f t="shared" ref="B2:B33" si="0">TEXT(DAY(A2),"dddd")</f>
        <v>Monday</v>
      </c>
      <c r="C2" s="2" t="s">
        <v>15</v>
      </c>
      <c r="D2" s="2" t="s">
        <v>25</v>
      </c>
      <c r="E2" s="2" t="s">
        <v>28</v>
      </c>
      <c r="F2" s="2" t="s">
        <v>35</v>
      </c>
      <c r="G2" s="2" t="s">
        <v>30</v>
      </c>
      <c r="H2" s="2">
        <v>5</v>
      </c>
      <c r="I2" s="3">
        <v>29.3</v>
      </c>
      <c r="J2" s="3">
        <v>48</v>
      </c>
      <c r="K2" s="3">
        <v>146.5</v>
      </c>
      <c r="L2" s="3">
        <v>240</v>
      </c>
      <c r="M2" s="3">
        <v>93.5</v>
      </c>
      <c r="N2" s="2">
        <v>10</v>
      </c>
      <c r="O2" s="7">
        <v>5</v>
      </c>
      <c r="P2" s="3">
        <f t="shared" ref="P2:P33" si="1">M2/H2</f>
        <v>18.7</v>
      </c>
    </row>
    <row r="3" spans="1:16" x14ac:dyDescent="0.3">
      <c r="A3" s="2" t="s">
        <v>77</v>
      </c>
      <c r="B3" s="2" t="str">
        <f t="shared" si="0"/>
        <v>Monday</v>
      </c>
      <c r="C3" s="2" t="s">
        <v>24</v>
      </c>
      <c r="D3" s="2" t="s">
        <v>25</v>
      </c>
      <c r="E3" s="2" t="s">
        <v>28</v>
      </c>
      <c r="F3" s="2" t="s">
        <v>35</v>
      </c>
      <c r="G3" s="2" t="s">
        <v>30</v>
      </c>
      <c r="H3" s="2">
        <v>1</v>
      </c>
      <c r="I3" s="3">
        <v>30.08</v>
      </c>
      <c r="J3" s="3">
        <v>53.81</v>
      </c>
      <c r="K3" s="3">
        <v>30.08</v>
      </c>
      <c r="L3" s="3">
        <v>53.81</v>
      </c>
      <c r="M3" s="3">
        <v>23.73</v>
      </c>
      <c r="N3" s="2">
        <v>10</v>
      </c>
      <c r="O3" s="7">
        <v>5</v>
      </c>
      <c r="P3" s="3">
        <f t="shared" si="1"/>
        <v>23.73</v>
      </c>
    </row>
    <row r="4" spans="1:16" x14ac:dyDescent="0.3">
      <c r="A4" s="2" t="s">
        <v>31</v>
      </c>
      <c r="B4" s="2" t="str">
        <f t="shared" si="0"/>
        <v>Monday</v>
      </c>
      <c r="C4" s="2" t="s">
        <v>15</v>
      </c>
      <c r="D4" s="2" t="s">
        <v>16</v>
      </c>
      <c r="E4" s="2" t="s">
        <v>21</v>
      </c>
      <c r="F4" s="2" t="s">
        <v>22</v>
      </c>
      <c r="G4" s="2" t="s">
        <v>19</v>
      </c>
      <c r="H4" s="2">
        <v>5</v>
      </c>
      <c r="I4" s="3">
        <v>56.86</v>
      </c>
      <c r="J4" s="3">
        <v>92.72</v>
      </c>
      <c r="K4" s="3">
        <v>284.3</v>
      </c>
      <c r="L4" s="3">
        <v>463.6</v>
      </c>
      <c r="M4" s="3">
        <v>179.3</v>
      </c>
      <c r="N4" s="2">
        <v>1</v>
      </c>
      <c r="O4" s="7">
        <v>4</v>
      </c>
      <c r="P4" s="3">
        <f t="shared" si="1"/>
        <v>35.86</v>
      </c>
    </row>
    <row r="5" spans="1:16" x14ac:dyDescent="0.3">
      <c r="A5" s="2" t="s">
        <v>62</v>
      </c>
      <c r="B5" s="2" t="str">
        <f t="shared" si="0"/>
        <v>Monday</v>
      </c>
      <c r="C5" s="2" t="s">
        <v>15</v>
      </c>
      <c r="D5" s="2" t="s">
        <v>16</v>
      </c>
      <c r="E5" s="2" t="s">
        <v>17</v>
      </c>
      <c r="F5" s="2" t="s">
        <v>43</v>
      </c>
      <c r="G5" s="2" t="s">
        <v>19</v>
      </c>
      <c r="H5" s="2">
        <v>4</v>
      </c>
      <c r="I5" s="3">
        <v>97.03</v>
      </c>
      <c r="J5" s="3">
        <v>161.38999999999999</v>
      </c>
      <c r="K5" s="3">
        <v>388.12</v>
      </c>
      <c r="L5" s="3">
        <v>645.55999999999995</v>
      </c>
      <c r="M5" s="3">
        <v>257.44</v>
      </c>
      <c r="N5" s="2">
        <v>3</v>
      </c>
      <c r="O5" s="7">
        <v>3</v>
      </c>
      <c r="P5" s="3">
        <f t="shared" si="1"/>
        <v>64.36</v>
      </c>
    </row>
    <row r="6" spans="1:16" x14ac:dyDescent="0.3">
      <c r="A6" s="2" t="s">
        <v>48</v>
      </c>
      <c r="B6" s="2" t="str">
        <f t="shared" si="0"/>
        <v>Monday</v>
      </c>
      <c r="C6" s="2" t="s">
        <v>15</v>
      </c>
      <c r="D6" s="2" t="s">
        <v>25</v>
      </c>
      <c r="E6" s="2" t="s">
        <v>17</v>
      </c>
      <c r="F6" s="2" t="s">
        <v>49</v>
      </c>
      <c r="G6" s="2" t="s">
        <v>37</v>
      </c>
      <c r="H6" s="2">
        <v>5</v>
      </c>
      <c r="I6" s="3">
        <v>90.12</v>
      </c>
      <c r="J6" s="3">
        <v>134.31</v>
      </c>
      <c r="K6" s="3">
        <v>450.6</v>
      </c>
      <c r="L6" s="3">
        <v>671.55</v>
      </c>
      <c r="M6" s="3">
        <v>220.95</v>
      </c>
      <c r="N6" s="2">
        <v>2</v>
      </c>
      <c r="O6" s="7">
        <v>3</v>
      </c>
      <c r="P6" s="3">
        <f t="shared" si="1"/>
        <v>44.19</v>
      </c>
    </row>
    <row r="7" spans="1:16" x14ac:dyDescent="0.3">
      <c r="A7" s="2" t="s">
        <v>47</v>
      </c>
      <c r="B7" s="2" t="str">
        <f t="shared" si="0"/>
        <v>Monday</v>
      </c>
      <c r="C7" s="2" t="s">
        <v>24</v>
      </c>
      <c r="D7" s="2" t="s">
        <v>27</v>
      </c>
      <c r="E7" s="2" t="s">
        <v>17</v>
      </c>
      <c r="F7" s="2" t="s">
        <v>18</v>
      </c>
      <c r="G7" s="2" t="s">
        <v>37</v>
      </c>
      <c r="H7" s="2">
        <v>2</v>
      </c>
      <c r="I7" s="3">
        <v>109.74</v>
      </c>
      <c r="J7" s="3">
        <v>190.76</v>
      </c>
      <c r="K7" s="3">
        <v>219.48</v>
      </c>
      <c r="L7" s="3">
        <v>381.52</v>
      </c>
      <c r="M7" s="3">
        <v>162.04</v>
      </c>
      <c r="N7" s="2">
        <v>1</v>
      </c>
      <c r="O7" s="7">
        <v>4</v>
      </c>
      <c r="P7" s="3">
        <f t="shared" si="1"/>
        <v>81.02</v>
      </c>
    </row>
    <row r="8" spans="1:16" x14ac:dyDescent="0.3">
      <c r="A8" s="2" t="s">
        <v>47</v>
      </c>
      <c r="B8" s="2" t="str">
        <f t="shared" si="0"/>
        <v>Monday</v>
      </c>
      <c r="C8" s="2" t="s">
        <v>15</v>
      </c>
      <c r="D8" s="2" t="s">
        <v>33</v>
      </c>
      <c r="E8" s="2" t="s">
        <v>21</v>
      </c>
      <c r="F8" s="2" t="s">
        <v>60</v>
      </c>
      <c r="G8" s="2" t="s">
        <v>19</v>
      </c>
      <c r="H8" s="2">
        <v>6</v>
      </c>
      <c r="I8" s="3">
        <v>100.23</v>
      </c>
      <c r="J8" s="3">
        <v>151.04</v>
      </c>
      <c r="K8" s="3">
        <v>601.38</v>
      </c>
      <c r="L8" s="3">
        <v>906.24</v>
      </c>
      <c r="M8" s="3">
        <v>304.86</v>
      </c>
      <c r="N8" s="2">
        <v>4</v>
      </c>
      <c r="O8" s="7">
        <v>1</v>
      </c>
      <c r="P8" s="3">
        <f t="shared" si="1"/>
        <v>50.81</v>
      </c>
    </row>
    <row r="9" spans="1:16" x14ac:dyDescent="0.3">
      <c r="A9" s="2" t="s">
        <v>59</v>
      </c>
      <c r="B9" s="2" t="str">
        <f t="shared" si="0"/>
        <v>Monday</v>
      </c>
      <c r="C9" s="2" t="s">
        <v>15</v>
      </c>
      <c r="D9" s="2" t="s">
        <v>16</v>
      </c>
      <c r="E9" s="2" t="s">
        <v>21</v>
      </c>
      <c r="F9" s="2" t="s">
        <v>60</v>
      </c>
      <c r="G9" s="2" t="s">
        <v>30</v>
      </c>
      <c r="H9" s="2">
        <v>8</v>
      </c>
      <c r="I9" s="3">
        <v>78.75</v>
      </c>
      <c r="J9" s="3">
        <v>132.72</v>
      </c>
      <c r="K9" s="3">
        <v>630</v>
      </c>
      <c r="L9" s="3">
        <v>1061.76</v>
      </c>
      <c r="M9" s="3">
        <v>431.76</v>
      </c>
      <c r="N9" s="2">
        <v>7</v>
      </c>
      <c r="O9" s="7">
        <v>3</v>
      </c>
      <c r="P9" s="3">
        <f t="shared" si="1"/>
        <v>53.97</v>
      </c>
    </row>
    <row r="10" spans="1:16" x14ac:dyDescent="0.3">
      <c r="A10" s="2" t="s">
        <v>106</v>
      </c>
      <c r="B10" s="2" t="str">
        <f t="shared" si="0"/>
        <v>Monday</v>
      </c>
      <c r="C10" s="2" t="s">
        <v>15</v>
      </c>
      <c r="D10" s="2" t="s">
        <v>27</v>
      </c>
      <c r="E10" s="2" t="s">
        <v>21</v>
      </c>
      <c r="F10" s="2" t="s">
        <v>60</v>
      </c>
      <c r="G10" s="2" t="s">
        <v>19</v>
      </c>
      <c r="H10" s="2">
        <v>2</v>
      </c>
      <c r="I10" s="3">
        <v>86.69</v>
      </c>
      <c r="J10" s="3">
        <v>136.69</v>
      </c>
      <c r="K10" s="3">
        <v>173.38</v>
      </c>
      <c r="L10" s="3">
        <v>273.38</v>
      </c>
      <c r="M10" s="3">
        <v>100</v>
      </c>
      <c r="N10" s="2">
        <v>2</v>
      </c>
      <c r="O10" s="7">
        <v>2</v>
      </c>
      <c r="P10" s="3">
        <f t="shared" si="1"/>
        <v>50</v>
      </c>
    </row>
    <row r="11" spans="1:16" x14ac:dyDescent="0.3">
      <c r="A11" s="2" t="s">
        <v>104</v>
      </c>
      <c r="B11" s="2" t="str">
        <f t="shared" si="0"/>
        <v>Monday</v>
      </c>
      <c r="C11" s="2" t="s">
        <v>24</v>
      </c>
      <c r="D11" s="2" t="s">
        <v>33</v>
      </c>
      <c r="E11" s="2" t="s">
        <v>21</v>
      </c>
      <c r="F11" s="2" t="s">
        <v>60</v>
      </c>
      <c r="G11" s="2" t="s">
        <v>37</v>
      </c>
      <c r="H11" s="2">
        <v>8</v>
      </c>
      <c r="I11" s="3">
        <v>65.86</v>
      </c>
      <c r="J11" s="3">
        <v>109.38</v>
      </c>
      <c r="K11" s="3">
        <v>526.88</v>
      </c>
      <c r="L11" s="3">
        <v>875.04</v>
      </c>
      <c r="M11" s="3">
        <v>348.16</v>
      </c>
      <c r="N11" s="2">
        <v>3</v>
      </c>
      <c r="O11" s="7">
        <v>2</v>
      </c>
      <c r="P11" s="3">
        <f t="shared" si="1"/>
        <v>43.52</v>
      </c>
    </row>
    <row r="12" spans="1:16" x14ac:dyDescent="0.3">
      <c r="A12" s="2" t="s">
        <v>72</v>
      </c>
      <c r="B12" s="2" t="str">
        <f t="shared" si="0"/>
        <v>Monday</v>
      </c>
      <c r="C12" s="2" t="s">
        <v>15</v>
      </c>
      <c r="D12" s="2" t="s">
        <v>25</v>
      </c>
      <c r="E12" s="2" t="s">
        <v>28</v>
      </c>
      <c r="F12" s="2" t="s">
        <v>29</v>
      </c>
      <c r="G12" s="2" t="s">
        <v>19</v>
      </c>
      <c r="H12" s="2">
        <v>6</v>
      </c>
      <c r="I12" s="3">
        <v>60.64</v>
      </c>
      <c r="J12" s="3">
        <v>83.46</v>
      </c>
      <c r="K12" s="3">
        <v>363.84</v>
      </c>
      <c r="L12" s="3">
        <v>500.76</v>
      </c>
      <c r="M12" s="3">
        <v>136.91999999999999</v>
      </c>
      <c r="N12" s="2">
        <v>2</v>
      </c>
      <c r="O12" s="7">
        <v>1</v>
      </c>
      <c r="P12" s="3">
        <f t="shared" si="1"/>
        <v>22.819999999999997</v>
      </c>
    </row>
    <row r="13" spans="1:16" x14ac:dyDescent="0.3">
      <c r="A13" s="2" t="s">
        <v>72</v>
      </c>
      <c r="B13" s="2" t="str">
        <f t="shared" si="0"/>
        <v>Monday</v>
      </c>
      <c r="C13" s="2" t="s">
        <v>15</v>
      </c>
      <c r="D13" s="2" t="s">
        <v>16</v>
      </c>
      <c r="E13" s="2" t="s">
        <v>17</v>
      </c>
      <c r="F13" s="2" t="s">
        <v>43</v>
      </c>
      <c r="G13" s="2" t="s">
        <v>30</v>
      </c>
      <c r="H13" s="2">
        <v>5</v>
      </c>
      <c r="I13" s="3">
        <v>71.47</v>
      </c>
      <c r="J13" s="3">
        <v>120.99</v>
      </c>
      <c r="K13" s="3">
        <v>357.35</v>
      </c>
      <c r="L13" s="3">
        <v>604.95000000000005</v>
      </c>
      <c r="M13" s="3">
        <v>247.6</v>
      </c>
      <c r="N13" s="2">
        <v>9</v>
      </c>
      <c r="O13" s="7">
        <v>3</v>
      </c>
      <c r="P13" s="3">
        <f t="shared" si="1"/>
        <v>49.519999999999996</v>
      </c>
    </row>
    <row r="14" spans="1:16" x14ac:dyDescent="0.3">
      <c r="A14" s="2" t="s">
        <v>44</v>
      </c>
      <c r="B14" s="2" t="str">
        <f t="shared" si="0"/>
        <v>Monday</v>
      </c>
      <c r="C14" s="2" t="s">
        <v>15</v>
      </c>
      <c r="D14" s="2" t="s">
        <v>16</v>
      </c>
      <c r="E14" s="2" t="s">
        <v>28</v>
      </c>
      <c r="F14" s="2" t="s">
        <v>29</v>
      </c>
      <c r="G14" s="2" t="s">
        <v>30</v>
      </c>
      <c r="H14" s="2">
        <v>5</v>
      </c>
      <c r="I14" s="3">
        <v>55.17</v>
      </c>
      <c r="J14" s="3">
        <v>91.32</v>
      </c>
      <c r="K14" s="3">
        <v>275.85000000000002</v>
      </c>
      <c r="L14" s="3">
        <v>456.6</v>
      </c>
      <c r="M14" s="3">
        <v>180.75</v>
      </c>
      <c r="N14" s="2">
        <v>8</v>
      </c>
      <c r="O14" s="7">
        <v>4</v>
      </c>
      <c r="P14" s="3">
        <f t="shared" si="1"/>
        <v>36.15</v>
      </c>
    </row>
    <row r="15" spans="1:16" x14ac:dyDescent="0.3">
      <c r="A15" s="2" t="s">
        <v>58</v>
      </c>
      <c r="B15" s="2" t="str">
        <f t="shared" si="0"/>
        <v>Monday</v>
      </c>
      <c r="C15" s="2" t="s">
        <v>15</v>
      </c>
      <c r="D15" s="2" t="s">
        <v>33</v>
      </c>
      <c r="E15" s="2" t="s">
        <v>17</v>
      </c>
      <c r="F15" s="2" t="s">
        <v>49</v>
      </c>
      <c r="G15" s="2" t="s">
        <v>37</v>
      </c>
      <c r="H15" s="2">
        <v>8</v>
      </c>
      <c r="I15" s="3">
        <v>25.26</v>
      </c>
      <c r="J15" s="3">
        <v>42.86</v>
      </c>
      <c r="K15" s="3">
        <v>202.08</v>
      </c>
      <c r="L15" s="3">
        <v>342.88</v>
      </c>
      <c r="M15" s="3">
        <v>140.80000000000001</v>
      </c>
      <c r="N15" s="2">
        <v>3</v>
      </c>
      <c r="O15" s="7">
        <v>3</v>
      </c>
      <c r="P15" s="3">
        <f t="shared" si="1"/>
        <v>17.600000000000001</v>
      </c>
    </row>
    <row r="16" spans="1:16" x14ac:dyDescent="0.3">
      <c r="A16" s="2" t="s">
        <v>42</v>
      </c>
      <c r="B16" s="2" t="str">
        <f t="shared" si="0"/>
        <v>Monday</v>
      </c>
      <c r="C16" s="2" t="s">
        <v>24</v>
      </c>
      <c r="D16" s="2" t="s">
        <v>16</v>
      </c>
      <c r="E16" s="2" t="s">
        <v>17</v>
      </c>
      <c r="F16" s="2" t="s">
        <v>43</v>
      </c>
      <c r="G16" s="2" t="s">
        <v>19</v>
      </c>
      <c r="H16" s="2">
        <v>7</v>
      </c>
      <c r="I16" s="3">
        <v>95.92</v>
      </c>
      <c r="J16" s="3">
        <v>166.26</v>
      </c>
      <c r="K16" s="3">
        <v>671.44</v>
      </c>
      <c r="L16" s="3">
        <v>1163.82</v>
      </c>
      <c r="M16" s="3">
        <v>492.38</v>
      </c>
      <c r="N16" s="2">
        <v>4</v>
      </c>
      <c r="O16" s="7">
        <v>5</v>
      </c>
      <c r="P16" s="3">
        <f t="shared" si="1"/>
        <v>70.34</v>
      </c>
    </row>
    <row r="17" spans="1:16" x14ac:dyDescent="0.3">
      <c r="A17" s="2" t="s">
        <v>63</v>
      </c>
      <c r="B17" s="2" t="str">
        <f t="shared" si="0"/>
        <v>Monday</v>
      </c>
      <c r="C17" s="2" t="s">
        <v>24</v>
      </c>
      <c r="D17" s="2" t="s">
        <v>27</v>
      </c>
      <c r="E17" s="2" t="s">
        <v>17</v>
      </c>
      <c r="F17" s="2" t="s">
        <v>18</v>
      </c>
      <c r="G17" s="2" t="s">
        <v>37</v>
      </c>
      <c r="H17" s="2">
        <v>9</v>
      </c>
      <c r="I17" s="3">
        <v>64.83</v>
      </c>
      <c r="J17" s="3">
        <v>103.26</v>
      </c>
      <c r="K17" s="3">
        <v>583.47</v>
      </c>
      <c r="L17" s="3">
        <v>929.34</v>
      </c>
      <c r="M17" s="3">
        <v>345.87</v>
      </c>
      <c r="N17" s="2">
        <v>3</v>
      </c>
      <c r="O17" s="7">
        <v>4</v>
      </c>
      <c r="P17" s="3">
        <f t="shared" si="1"/>
        <v>38.43</v>
      </c>
    </row>
    <row r="18" spans="1:16" x14ac:dyDescent="0.3">
      <c r="A18" s="2" t="s">
        <v>99</v>
      </c>
      <c r="B18" s="2" t="str">
        <f t="shared" si="0"/>
        <v>Tuesday</v>
      </c>
      <c r="C18" s="2" t="s">
        <v>15</v>
      </c>
      <c r="D18" s="2" t="s">
        <v>33</v>
      </c>
      <c r="E18" s="2" t="s">
        <v>17</v>
      </c>
      <c r="F18" s="2" t="s">
        <v>43</v>
      </c>
      <c r="G18" s="2" t="s">
        <v>19</v>
      </c>
      <c r="H18" s="2">
        <v>8</v>
      </c>
      <c r="I18" s="3">
        <v>97.06</v>
      </c>
      <c r="J18" s="3">
        <v>174.65</v>
      </c>
      <c r="K18" s="3">
        <v>776.48</v>
      </c>
      <c r="L18" s="3">
        <v>1397.2</v>
      </c>
      <c r="M18" s="3">
        <v>620.72</v>
      </c>
      <c r="N18" s="2">
        <v>5</v>
      </c>
      <c r="O18" s="7">
        <v>1</v>
      </c>
      <c r="P18" s="3">
        <f t="shared" si="1"/>
        <v>77.59</v>
      </c>
    </row>
    <row r="19" spans="1:16" x14ac:dyDescent="0.3">
      <c r="A19" s="2" t="s">
        <v>101</v>
      </c>
      <c r="B19" s="2" t="str">
        <f t="shared" si="0"/>
        <v>Tuesday</v>
      </c>
      <c r="C19" s="2" t="s">
        <v>24</v>
      </c>
      <c r="D19" s="2" t="s">
        <v>25</v>
      </c>
      <c r="E19" s="2" t="s">
        <v>17</v>
      </c>
      <c r="F19" s="2" t="s">
        <v>43</v>
      </c>
      <c r="G19" s="2" t="s">
        <v>37</v>
      </c>
      <c r="H19" s="2">
        <v>10</v>
      </c>
      <c r="I19" s="3">
        <v>97.75</v>
      </c>
      <c r="J19" s="3">
        <v>152.79</v>
      </c>
      <c r="K19" s="3">
        <v>977.5</v>
      </c>
      <c r="L19" s="3">
        <v>1527.9</v>
      </c>
      <c r="M19" s="3">
        <v>550.4</v>
      </c>
      <c r="N19" s="2">
        <v>5</v>
      </c>
      <c r="O19" s="7">
        <v>5</v>
      </c>
      <c r="P19" s="3">
        <f t="shared" si="1"/>
        <v>55.04</v>
      </c>
    </row>
    <row r="20" spans="1:16" x14ac:dyDescent="0.3">
      <c r="A20" s="2" t="s">
        <v>85</v>
      </c>
      <c r="B20" s="2" t="str">
        <f t="shared" si="0"/>
        <v>Tuesday</v>
      </c>
      <c r="C20" s="2" t="s">
        <v>24</v>
      </c>
      <c r="D20" s="2" t="s">
        <v>33</v>
      </c>
      <c r="E20" s="2" t="s">
        <v>21</v>
      </c>
      <c r="F20" s="2" t="s">
        <v>39</v>
      </c>
      <c r="G20" s="2" t="s">
        <v>37</v>
      </c>
      <c r="H20" s="2">
        <v>3</v>
      </c>
      <c r="I20" s="3">
        <v>32.25</v>
      </c>
      <c r="J20" s="3">
        <v>53.94</v>
      </c>
      <c r="K20" s="3">
        <v>96.75</v>
      </c>
      <c r="L20" s="3">
        <v>161.82</v>
      </c>
      <c r="M20" s="3">
        <v>65.069999999999993</v>
      </c>
      <c r="N20" s="2">
        <v>3</v>
      </c>
      <c r="O20" s="7">
        <v>4</v>
      </c>
      <c r="P20" s="3">
        <f t="shared" si="1"/>
        <v>21.689999999999998</v>
      </c>
    </row>
    <row r="21" spans="1:16" x14ac:dyDescent="0.3">
      <c r="A21" s="2" t="s">
        <v>54</v>
      </c>
      <c r="B21" s="2" t="str">
        <f t="shared" si="0"/>
        <v>Tuesday</v>
      </c>
      <c r="C21" s="2" t="s">
        <v>15</v>
      </c>
      <c r="D21" s="2" t="s">
        <v>16</v>
      </c>
      <c r="E21" s="2" t="s">
        <v>28</v>
      </c>
      <c r="F21" s="2" t="s">
        <v>35</v>
      </c>
      <c r="G21" s="2" t="s">
        <v>37</v>
      </c>
      <c r="H21" s="2">
        <v>7</v>
      </c>
      <c r="I21" s="3">
        <v>76.7</v>
      </c>
      <c r="J21" s="3">
        <v>134.41999999999999</v>
      </c>
      <c r="K21" s="3">
        <v>536.9</v>
      </c>
      <c r="L21" s="3">
        <v>940.94</v>
      </c>
      <c r="M21" s="3">
        <v>404.04</v>
      </c>
      <c r="N21" s="2">
        <v>4</v>
      </c>
      <c r="O21" s="7">
        <v>4</v>
      </c>
      <c r="P21" s="3">
        <f t="shared" si="1"/>
        <v>57.720000000000006</v>
      </c>
    </row>
    <row r="22" spans="1:16" x14ac:dyDescent="0.3">
      <c r="A22" s="2" t="s">
        <v>97</v>
      </c>
      <c r="B22" s="2" t="str">
        <f t="shared" si="0"/>
        <v>Tuesday</v>
      </c>
      <c r="C22" s="2" t="s">
        <v>15</v>
      </c>
      <c r="D22" s="2" t="s">
        <v>16</v>
      </c>
      <c r="E22" s="2" t="s">
        <v>17</v>
      </c>
      <c r="F22" s="2" t="s">
        <v>43</v>
      </c>
      <c r="G22" s="2" t="s">
        <v>37</v>
      </c>
      <c r="H22" s="2">
        <v>1</v>
      </c>
      <c r="I22" s="3">
        <v>103.98</v>
      </c>
      <c r="J22" s="3">
        <v>155.63999999999999</v>
      </c>
      <c r="K22" s="3">
        <v>103.98</v>
      </c>
      <c r="L22" s="3">
        <v>155.63999999999999</v>
      </c>
      <c r="M22" s="3">
        <v>51.66</v>
      </c>
      <c r="N22" s="2">
        <v>5</v>
      </c>
      <c r="O22" s="7">
        <v>2</v>
      </c>
      <c r="P22" s="3">
        <f t="shared" si="1"/>
        <v>51.66</v>
      </c>
    </row>
    <row r="23" spans="1:16" x14ac:dyDescent="0.3">
      <c r="A23" s="2" t="s">
        <v>78</v>
      </c>
      <c r="B23" s="2" t="str">
        <f t="shared" si="0"/>
        <v>Tuesday</v>
      </c>
      <c r="C23" s="2" t="s">
        <v>15</v>
      </c>
      <c r="D23" s="2" t="s">
        <v>27</v>
      </c>
      <c r="E23" s="2" t="s">
        <v>21</v>
      </c>
      <c r="F23" s="2" t="s">
        <v>60</v>
      </c>
      <c r="G23" s="2" t="s">
        <v>30</v>
      </c>
      <c r="H23" s="2">
        <v>8</v>
      </c>
      <c r="I23" s="3">
        <v>91.99</v>
      </c>
      <c r="J23" s="3">
        <v>142.63999999999999</v>
      </c>
      <c r="K23" s="3">
        <v>735.92</v>
      </c>
      <c r="L23" s="3">
        <v>1141.1199999999999</v>
      </c>
      <c r="M23" s="3">
        <v>405.2</v>
      </c>
      <c r="N23" s="2">
        <v>6</v>
      </c>
      <c r="O23" s="7">
        <v>2</v>
      </c>
      <c r="P23" s="3">
        <f t="shared" si="1"/>
        <v>50.65</v>
      </c>
    </row>
    <row r="24" spans="1:16" x14ac:dyDescent="0.3">
      <c r="A24" s="2" t="s">
        <v>36</v>
      </c>
      <c r="B24" s="2" t="str">
        <f t="shared" si="0"/>
        <v>Tuesday</v>
      </c>
      <c r="C24" s="2" t="s">
        <v>24</v>
      </c>
      <c r="D24" s="2" t="s">
        <v>16</v>
      </c>
      <c r="E24" s="2" t="s">
        <v>17</v>
      </c>
      <c r="F24" s="2" t="s">
        <v>18</v>
      </c>
      <c r="G24" s="2" t="s">
        <v>37</v>
      </c>
      <c r="H24" s="2">
        <v>8</v>
      </c>
      <c r="I24" s="3">
        <v>64.19</v>
      </c>
      <c r="J24" s="3">
        <v>103.64</v>
      </c>
      <c r="K24" s="3">
        <v>513.52</v>
      </c>
      <c r="L24" s="3">
        <v>829.12</v>
      </c>
      <c r="M24" s="3">
        <v>315.60000000000002</v>
      </c>
      <c r="N24" s="2">
        <v>2</v>
      </c>
      <c r="O24" s="7">
        <v>5</v>
      </c>
      <c r="P24" s="3">
        <f t="shared" si="1"/>
        <v>39.450000000000003</v>
      </c>
    </row>
    <row r="25" spans="1:16" x14ac:dyDescent="0.3">
      <c r="A25" s="2" t="s">
        <v>66</v>
      </c>
      <c r="B25" s="2" t="str">
        <f t="shared" si="0"/>
        <v>Tuesday</v>
      </c>
      <c r="C25" s="2" t="s">
        <v>24</v>
      </c>
      <c r="D25" s="2" t="s">
        <v>33</v>
      </c>
      <c r="E25" s="2" t="s">
        <v>21</v>
      </c>
      <c r="F25" s="2" t="s">
        <v>22</v>
      </c>
      <c r="G25" s="2" t="s">
        <v>30</v>
      </c>
      <c r="H25" s="2">
        <v>6</v>
      </c>
      <c r="I25" s="3">
        <v>67.34</v>
      </c>
      <c r="J25" s="3">
        <v>115.92</v>
      </c>
      <c r="K25" s="3">
        <v>404.04</v>
      </c>
      <c r="L25" s="3">
        <v>695.52</v>
      </c>
      <c r="M25" s="3">
        <v>291.48</v>
      </c>
      <c r="N25" s="2">
        <v>6</v>
      </c>
      <c r="O25" s="7">
        <v>3</v>
      </c>
      <c r="P25" s="3">
        <f t="shared" si="1"/>
        <v>48.580000000000005</v>
      </c>
    </row>
    <row r="26" spans="1:16" x14ac:dyDescent="0.3">
      <c r="A26" s="2" t="s">
        <v>66</v>
      </c>
      <c r="B26" s="2" t="str">
        <f t="shared" si="0"/>
        <v>Tuesday</v>
      </c>
      <c r="C26" s="2" t="s">
        <v>24</v>
      </c>
      <c r="D26" s="2" t="s">
        <v>25</v>
      </c>
      <c r="E26" s="2" t="s">
        <v>17</v>
      </c>
      <c r="F26" s="2" t="s">
        <v>43</v>
      </c>
      <c r="G26" s="2" t="s">
        <v>37</v>
      </c>
      <c r="H26" s="2">
        <v>1</v>
      </c>
      <c r="I26" s="3">
        <v>62.7</v>
      </c>
      <c r="J26" s="3">
        <v>103.45</v>
      </c>
      <c r="K26" s="3">
        <v>62.7</v>
      </c>
      <c r="L26" s="3">
        <v>103.45</v>
      </c>
      <c r="M26" s="3">
        <v>40.75</v>
      </c>
      <c r="N26" s="2">
        <v>5</v>
      </c>
      <c r="O26" s="7">
        <v>5</v>
      </c>
      <c r="P26" s="3">
        <f t="shared" si="1"/>
        <v>40.75</v>
      </c>
    </row>
    <row r="27" spans="1:16" x14ac:dyDescent="0.3">
      <c r="A27" s="2" t="s">
        <v>66</v>
      </c>
      <c r="B27" s="2" t="str">
        <f t="shared" si="0"/>
        <v>Tuesday</v>
      </c>
      <c r="C27" s="2" t="s">
        <v>15</v>
      </c>
      <c r="D27" s="2" t="s">
        <v>25</v>
      </c>
      <c r="E27" s="2" t="s">
        <v>17</v>
      </c>
      <c r="F27" s="2" t="s">
        <v>18</v>
      </c>
      <c r="G27" s="2" t="s">
        <v>30</v>
      </c>
      <c r="H27" s="2">
        <v>3</v>
      </c>
      <c r="I27" s="3">
        <v>39.03</v>
      </c>
      <c r="J27" s="3">
        <v>64.77</v>
      </c>
      <c r="K27" s="3">
        <v>117.09</v>
      </c>
      <c r="L27" s="3">
        <v>194.31</v>
      </c>
      <c r="M27" s="3">
        <v>77.22</v>
      </c>
      <c r="N27" s="2">
        <v>9</v>
      </c>
      <c r="O27" s="7">
        <v>3</v>
      </c>
      <c r="P27" s="3">
        <f t="shared" si="1"/>
        <v>25.74</v>
      </c>
    </row>
    <row r="28" spans="1:16" x14ac:dyDescent="0.3">
      <c r="A28" s="2" t="s">
        <v>105</v>
      </c>
      <c r="B28" s="2" t="str">
        <f t="shared" si="0"/>
        <v>Wednesday</v>
      </c>
      <c r="C28" s="2" t="s">
        <v>15</v>
      </c>
      <c r="D28" s="2" t="s">
        <v>27</v>
      </c>
      <c r="E28" s="2" t="s">
        <v>28</v>
      </c>
      <c r="F28" s="2" t="s">
        <v>35</v>
      </c>
      <c r="G28" s="2" t="s">
        <v>37</v>
      </c>
      <c r="H28" s="2">
        <v>3</v>
      </c>
      <c r="I28" s="3">
        <v>74.790000000000006</v>
      </c>
      <c r="J28" s="3">
        <v>120.38</v>
      </c>
      <c r="K28" s="3">
        <v>224.37</v>
      </c>
      <c r="L28" s="3">
        <v>361.14</v>
      </c>
      <c r="M28" s="3">
        <v>136.77000000000001</v>
      </c>
      <c r="N28" s="2">
        <v>2</v>
      </c>
      <c r="O28" s="7">
        <v>1</v>
      </c>
      <c r="P28" s="3">
        <f t="shared" si="1"/>
        <v>45.59</v>
      </c>
    </row>
    <row r="29" spans="1:16" x14ac:dyDescent="0.3">
      <c r="A29" s="2" t="s">
        <v>111</v>
      </c>
      <c r="B29" s="2" t="str">
        <f t="shared" si="0"/>
        <v>Wednesday</v>
      </c>
      <c r="C29" s="2" t="s">
        <v>24</v>
      </c>
      <c r="D29" s="2" t="s">
        <v>33</v>
      </c>
      <c r="E29" s="2" t="s">
        <v>21</v>
      </c>
      <c r="F29" s="2" t="s">
        <v>39</v>
      </c>
      <c r="G29" s="2" t="s">
        <v>19</v>
      </c>
      <c r="H29" s="2">
        <v>9</v>
      </c>
      <c r="I29" s="3">
        <v>37.1</v>
      </c>
      <c r="J29" s="3">
        <v>50</v>
      </c>
      <c r="K29" s="3">
        <v>333.9</v>
      </c>
      <c r="L29" s="3">
        <v>450</v>
      </c>
      <c r="M29" s="3">
        <v>116.1</v>
      </c>
      <c r="N29" s="2">
        <v>4</v>
      </c>
      <c r="O29" s="7">
        <v>2</v>
      </c>
      <c r="P29" s="3">
        <f t="shared" si="1"/>
        <v>12.899999999999999</v>
      </c>
    </row>
    <row r="30" spans="1:16" x14ac:dyDescent="0.3">
      <c r="A30" s="2" t="s">
        <v>79</v>
      </c>
      <c r="B30" s="2" t="str">
        <f t="shared" si="0"/>
        <v>Wednesday</v>
      </c>
      <c r="C30" s="2" t="s">
        <v>24</v>
      </c>
      <c r="D30" s="2" t="s">
        <v>25</v>
      </c>
      <c r="E30" s="2" t="s">
        <v>17</v>
      </c>
      <c r="F30" s="2" t="s">
        <v>43</v>
      </c>
      <c r="G30" s="2" t="s">
        <v>37</v>
      </c>
      <c r="H30" s="2">
        <v>10</v>
      </c>
      <c r="I30" s="3">
        <v>24.51</v>
      </c>
      <c r="J30" s="3">
        <v>32.83</v>
      </c>
      <c r="K30" s="3">
        <v>245.1</v>
      </c>
      <c r="L30" s="3">
        <v>328.3</v>
      </c>
      <c r="M30" s="3">
        <v>83.2</v>
      </c>
      <c r="N30" s="2">
        <v>5</v>
      </c>
      <c r="O30" s="7">
        <v>4</v>
      </c>
      <c r="P30" s="3">
        <f t="shared" si="1"/>
        <v>8.32</v>
      </c>
    </row>
    <row r="31" spans="1:16" x14ac:dyDescent="0.3">
      <c r="A31" s="2" t="s">
        <v>14</v>
      </c>
      <c r="B31" s="2" t="str">
        <f t="shared" si="0"/>
        <v>Wednesday</v>
      </c>
      <c r="C31" s="2" t="s">
        <v>15</v>
      </c>
      <c r="D31" s="2" t="s">
        <v>16</v>
      </c>
      <c r="E31" s="2" t="s">
        <v>17</v>
      </c>
      <c r="F31" s="2" t="s">
        <v>18</v>
      </c>
      <c r="G31" s="2" t="s">
        <v>19</v>
      </c>
      <c r="H31" s="2">
        <v>5</v>
      </c>
      <c r="I31" s="3">
        <v>57.12</v>
      </c>
      <c r="J31" s="3">
        <v>85.73</v>
      </c>
      <c r="K31" s="3">
        <v>285.60000000000002</v>
      </c>
      <c r="L31" s="3">
        <v>428.65</v>
      </c>
      <c r="M31" s="3">
        <v>143.05000000000001</v>
      </c>
      <c r="N31" s="2">
        <v>3</v>
      </c>
      <c r="O31" s="7">
        <v>4</v>
      </c>
      <c r="P31" s="3">
        <f t="shared" si="1"/>
        <v>28.610000000000003</v>
      </c>
    </row>
    <row r="32" spans="1:16" x14ac:dyDescent="0.3">
      <c r="A32" s="2" t="s">
        <v>113</v>
      </c>
      <c r="B32" s="2" t="str">
        <f t="shared" si="0"/>
        <v>Wednesday</v>
      </c>
      <c r="C32" s="2" t="s">
        <v>15</v>
      </c>
      <c r="D32" s="2" t="s">
        <v>33</v>
      </c>
      <c r="E32" s="2" t="s">
        <v>21</v>
      </c>
      <c r="F32" s="2" t="s">
        <v>22</v>
      </c>
      <c r="G32" s="2" t="s">
        <v>37</v>
      </c>
      <c r="H32" s="2">
        <v>5</v>
      </c>
      <c r="I32" s="3">
        <v>99.83</v>
      </c>
      <c r="J32" s="3">
        <v>168.93</v>
      </c>
      <c r="K32" s="3">
        <v>499.15</v>
      </c>
      <c r="L32" s="3">
        <v>844.65</v>
      </c>
      <c r="M32" s="3">
        <v>345.5</v>
      </c>
      <c r="N32" s="2">
        <v>4</v>
      </c>
      <c r="O32" s="7">
        <v>1</v>
      </c>
      <c r="P32" s="3">
        <f t="shared" si="1"/>
        <v>69.099999999999994</v>
      </c>
    </row>
    <row r="33" spans="1:16" x14ac:dyDescent="0.3">
      <c r="A33" s="2" t="s">
        <v>75</v>
      </c>
      <c r="B33" s="2" t="str">
        <f t="shared" si="0"/>
        <v>Wednesday</v>
      </c>
      <c r="C33" s="2" t="s">
        <v>24</v>
      </c>
      <c r="D33" s="2" t="s">
        <v>16</v>
      </c>
      <c r="E33" s="2" t="s">
        <v>17</v>
      </c>
      <c r="F33" s="2" t="s">
        <v>18</v>
      </c>
      <c r="G33" s="2" t="s">
        <v>37</v>
      </c>
      <c r="H33" s="2">
        <v>6</v>
      </c>
      <c r="I33" s="3">
        <v>79.72</v>
      </c>
      <c r="J33" s="3">
        <v>106.83</v>
      </c>
      <c r="K33" s="3">
        <v>478.32</v>
      </c>
      <c r="L33" s="3">
        <v>640.98</v>
      </c>
      <c r="M33" s="3">
        <v>162.66</v>
      </c>
      <c r="N33" s="2">
        <v>3</v>
      </c>
      <c r="O33" s="7">
        <v>2</v>
      </c>
      <c r="P33" s="3">
        <f t="shared" si="1"/>
        <v>27.11</v>
      </c>
    </row>
    <row r="34" spans="1:16" x14ac:dyDescent="0.3">
      <c r="A34" s="2" t="s">
        <v>94</v>
      </c>
      <c r="B34" s="2" t="str">
        <f t="shared" ref="B34:B65" si="2">TEXT(DAY(A34),"dddd")</f>
        <v>Wednesday</v>
      </c>
      <c r="C34" s="2" t="s">
        <v>15</v>
      </c>
      <c r="D34" s="2" t="s">
        <v>25</v>
      </c>
      <c r="E34" s="2" t="s">
        <v>28</v>
      </c>
      <c r="F34" s="2" t="s">
        <v>69</v>
      </c>
      <c r="G34" s="2" t="s">
        <v>30</v>
      </c>
      <c r="H34" s="2">
        <v>9</v>
      </c>
      <c r="I34" s="3">
        <v>115.68</v>
      </c>
      <c r="J34" s="3">
        <v>179.07</v>
      </c>
      <c r="K34" s="3">
        <v>1041.1199999999999</v>
      </c>
      <c r="L34" s="3">
        <v>1611.63</v>
      </c>
      <c r="M34" s="3">
        <v>570.51</v>
      </c>
      <c r="N34" s="2">
        <v>8</v>
      </c>
      <c r="O34" s="7">
        <v>1</v>
      </c>
      <c r="P34" s="3">
        <f t="shared" ref="P34:P65" si="3">M34/H34</f>
        <v>63.39</v>
      </c>
    </row>
    <row r="35" spans="1:16" x14ac:dyDescent="0.3">
      <c r="A35" s="2" t="s">
        <v>90</v>
      </c>
      <c r="B35" s="2" t="str">
        <f t="shared" si="2"/>
        <v>Wednesday</v>
      </c>
      <c r="C35" s="2" t="s">
        <v>24</v>
      </c>
      <c r="D35" s="2" t="s">
        <v>16</v>
      </c>
      <c r="E35" s="2" t="s">
        <v>28</v>
      </c>
      <c r="F35" s="2" t="s">
        <v>69</v>
      </c>
      <c r="G35" s="2" t="s">
        <v>19</v>
      </c>
      <c r="H35" s="2">
        <v>9</v>
      </c>
      <c r="I35" s="3">
        <v>97</v>
      </c>
      <c r="J35" s="3">
        <v>138.37</v>
      </c>
      <c r="K35" s="3">
        <v>873</v>
      </c>
      <c r="L35" s="3">
        <v>1245.33</v>
      </c>
      <c r="M35" s="3">
        <v>372.33</v>
      </c>
      <c r="N35" s="2">
        <v>3</v>
      </c>
      <c r="O35" s="7">
        <v>3</v>
      </c>
      <c r="P35" s="3">
        <f t="shared" si="3"/>
        <v>41.37</v>
      </c>
    </row>
    <row r="36" spans="1:16" x14ac:dyDescent="0.3">
      <c r="A36" s="2" t="s">
        <v>50</v>
      </c>
      <c r="B36" s="2" t="str">
        <f t="shared" si="2"/>
        <v>Wednesday</v>
      </c>
      <c r="C36" s="2" t="s">
        <v>24</v>
      </c>
      <c r="D36" s="2" t="s">
        <v>27</v>
      </c>
      <c r="E36" s="2" t="s">
        <v>17</v>
      </c>
      <c r="F36" s="2" t="s">
        <v>43</v>
      </c>
      <c r="G36" s="2" t="s">
        <v>37</v>
      </c>
      <c r="H36" s="2">
        <v>3</v>
      </c>
      <c r="I36" s="3">
        <v>56.64</v>
      </c>
      <c r="J36" s="3">
        <v>90.01</v>
      </c>
      <c r="K36" s="3">
        <v>169.92</v>
      </c>
      <c r="L36" s="3">
        <v>270.02999999999997</v>
      </c>
      <c r="M36" s="3">
        <v>100.11</v>
      </c>
      <c r="N36" s="2">
        <v>2</v>
      </c>
      <c r="O36" s="7">
        <v>2</v>
      </c>
      <c r="P36" s="3">
        <f t="shared" si="3"/>
        <v>33.369999999999997</v>
      </c>
    </row>
    <row r="37" spans="1:16" x14ac:dyDescent="0.3">
      <c r="A37" s="2" t="s">
        <v>23</v>
      </c>
      <c r="B37" s="2" t="str">
        <f t="shared" si="2"/>
        <v>Wednesday</v>
      </c>
      <c r="C37" s="2" t="s">
        <v>24</v>
      </c>
      <c r="D37" s="2" t="s">
        <v>25</v>
      </c>
      <c r="E37" s="2" t="s">
        <v>21</v>
      </c>
      <c r="F37" s="2" t="s">
        <v>22</v>
      </c>
      <c r="G37" s="2" t="s">
        <v>19</v>
      </c>
      <c r="H37" s="2">
        <v>7</v>
      </c>
      <c r="I37" s="3">
        <v>48</v>
      </c>
      <c r="J37" s="3">
        <v>66.02</v>
      </c>
      <c r="K37" s="3">
        <v>336</v>
      </c>
      <c r="L37" s="3">
        <v>462.14</v>
      </c>
      <c r="M37" s="3">
        <v>126.14</v>
      </c>
      <c r="N37" s="2">
        <v>5</v>
      </c>
      <c r="O37" s="7">
        <v>1</v>
      </c>
      <c r="P37" s="3">
        <f t="shared" si="3"/>
        <v>18.02</v>
      </c>
    </row>
    <row r="38" spans="1:16" x14ac:dyDescent="0.3">
      <c r="A38" s="2" t="s">
        <v>57</v>
      </c>
      <c r="B38" s="2" t="str">
        <f t="shared" si="2"/>
        <v>Wednesday</v>
      </c>
      <c r="C38" s="2" t="s">
        <v>15</v>
      </c>
      <c r="D38" s="2" t="s">
        <v>27</v>
      </c>
      <c r="E38" s="2" t="s">
        <v>21</v>
      </c>
      <c r="F38" s="2" t="s">
        <v>22</v>
      </c>
      <c r="G38" s="2" t="s">
        <v>19</v>
      </c>
      <c r="H38" s="2">
        <v>9</v>
      </c>
      <c r="I38" s="3">
        <v>100.99</v>
      </c>
      <c r="J38" s="3">
        <v>181.23</v>
      </c>
      <c r="K38" s="3">
        <v>908.91</v>
      </c>
      <c r="L38" s="3">
        <v>1631.07</v>
      </c>
      <c r="M38" s="3">
        <v>722.16</v>
      </c>
      <c r="N38" s="2">
        <v>3</v>
      </c>
      <c r="O38" s="7">
        <v>4</v>
      </c>
      <c r="P38" s="3">
        <f t="shared" si="3"/>
        <v>80.239999999999995</v>
      </c>
    </row>
    <row r="39" spans="1:16" x14ac:dyDescent="0.3">
      <c r="A39" s="2" t="s">
        <v>61</v>
      </c>
      <c r="B39" s="2" t="str">
        <f t="shared" si="2"/>
        <v>Wednesday</v>
      </c>
      <c r="C39" s="2" t="s">
        <v>24</v>
      </c>
      <c r="D39" s="2" t="s">
        <v>16</v>
      </c>
      <c r="E39" s="2" t="s">
        <v>17</v>
      </c>
      <c r="F39" s="2" t="s">
        <v>43</v>
      </c>
      <c r="G39" s="2" t="s">
        <v>37</v>
      </c>
      <c r="H39" s="2">
        <v>1</v>
      </c>
      <c r="I39" s="3">
        <v>44.76</v>
      </c>
      <c r="J39" s="3">
        <v>66.12</v>
      </c>
      <c r="K39" s="3">
        <v>44.76</v>
      </c>
      <c r="L39" s="3">
        <v>66.12</v>
      </c>
      <c r="M39" s="3">
        <v>21.36</v>
      </c>
      <c r="N39" s="2">
        <v>5</v>
      </c>
      <c r="O39" s="7">
        <v>4</v>
      </c>
      <c r="P39" s="3">
        <f t="shared" si="3"/>
        <v>21.36</v>
      </c>
    </row>
    <row r="40" spans="1:16" x14ac:dyDescent="0.3">
      <c r="A40" s="2" t="s">
        <v>61</v>
      </c>
      <c r="B40" s="2" t="str">
        <f t="shared" si="2"/>
        <v>Wednesday</v>
      </c>
      <c r="C40" s="2" t="s">
        <v>15</v>
      </c>
      <c r="D40" s="2" t="s">
        <v>27</v>
      </c>
      <c r="E40" s="2" t="s">
        <v>28</v>
      </c>
      <c r="F40" s="2" t="s">
        <v>35</v>
      </c>
      <c r="G40" s="2" t="s">
        <v>19</v>
      </c>
      <c r="H40" s="2">
        <v>4</v>
      </c>
      <c r="I40" s="3">
        <v>66.81</v>
      </c>
      <c r="J40" s="3">
        <v>90.61</v>
      </c>
      <c r="K40" s="3">
        <v>267.24</v>
      </c>
      <c r="L40" s="3">
        <v>362.44</v>
      </c>
      <c r="M40" s="3">
        <v>95.2</v>
      </c>
      <c r="N40" s="2">
        <v>4</v>
      </c>
      <c r="O40" s="7">
        <v>2</v>
      </c>
      <c r="P40" s="3">
        <f t="shared" si="3"/>
        <v>23.8</v>
      </c>
    </row>
    <row r="41" spans="1:16" x14ac:dyDescent="0.3">
      <c r="A41" s="2" t="s">
        <v>61</v>
      </c>
      <c r="B41" s="2" t="str">
        <f t="shared" si="2"/>
        <v>Wednesday</v>
      </c>
      <c r="C41" s="2" t="s">
        <v>15</v>
      </c>
      <c r="D41" s="2" t="s">
        <v>16</v>
      </c>
      <c r="E41" s="2" t="s">
        <v>17</v>
      </c>
      <c r="F41" s="2" t="s">
        <v>49</v>
      </c>
      <c r="G41" s="2" t="s">
        <v>19</v>
      </c>
      <c r="H41" s="2">
        <v>5</v>
      </c>
      <c r="I41" s="3">
        <v>24.54</v>
      </c>
      <c r="J41" s="3">
        <v>32.31</v>
      </c>
      <c r="K41" s="3">
        <v>122.7</v>
      </c>
      <c r="L41" s="3">
        <v>161.55000000000001</v>
      </c>
      <c r="M41" s="3">
        <v>38.85</v>
      </c>
      <c r="N41" s="2">
        <v>3</v>
      </c>
      <c r="O41" s="7">
        <v>4</v>
      </c>
      <c r="P41" s="3">
        <f t="shared" si="3"/>
        <v>7.7700000000000005</v>
      </c>
    </row>
    <row r="42" spans="1:16" x14ac:dyDescent="0.3">
      <c r="A42" s="2" t="s">
        <v>51</v>
      </c>
      <c r="B42" s="2" t="str">
        <f t="shared" si="2"/>
        <v>Thursday</v>
      </c>
      <c r="C42" s="2" t="s">
        <v>24</v>
      </c>
      <c r="D42" s="2" t="s">
        <v>33</v>
      </c>
      <c r="E42" s="2" t="s">
        <v>28</v>
      </c>
      <c r="F42" s="2" t="s">
        <v>35</v>
      </c>
      <c r="G42" s="2" t="s">
        <v>19</v>
      </c>
      <c r="H42" s="2">
        <v>1</v>
      </c>
      <c r="I42" s="3">
        <v>40.299999999999997</v>
      </c>
      <c r="J42" s="3">
        <v>65.16</v>
      </c>
      <c r="K42" s="3">
        <v>40.299999999999997</v>
      </c>
      <c r="L42" s="3">
        <v>65.16</v>
      </c>
      <c r="M42" s="3">
        <v>24.86</v>
      </c>
      <c r="N42" s="2">
        <v>1</v>
      </c>
      <c r="O42" s="7">
        <v>1</v>
      </c>
      <c r="P42" s="3">
        <f t="shared" si="3"/>
        <v>24.86</v>
      </c>
    </row>
    <row r="43" spans="1:16" x14ac:dyDescent="0.3">
      <c r="A43" s="2" t="s">
        <v>116</v>
      </c>
      <c r="B43" s="2" t="str">
        <f t="shared" si="2"/>
        <v>Thursday</v>
      </c>
      <c r="C43" s="2" t="s">
        <v>15</v>
      </c>
      <c r="D43" s="2" t="s">
        <v>16</v>
      </c>
      <c r="E43" s="2" t="s">
        <v>28</v>
      </c>
      <c r="F43" s="2" t="s">
        <v>29</v>
      </c>
      <c r="G43" s="2" t="s">
        <v>19</v>
      </c>
      <c r="H43" s="2">
        <v>9</v>
      </c>
      <c r="I43" s="3">
        <v>25.4</v>
      </c>
      <c r="J43" s="3">
        <v>44.7</v>
      </c>
      <c r="K43" s="3">
        <v>228.6</v>
      </c>
      <c r="L43" s="3">
        <v>402.3</v>
      </c>
      <c r="M43" s="3">
        <v>173.7</v>
      </c>
      <c r="N43" s="2">
        <v>3</v>
      </c>
      <c r="O43" s="7">
        <v>3</v>
      </c>
      <c r="P43" s="3">
        <f t="shared" si="3"/>
        <v>19.299999999999997</v>
      </c>
    </row>
    <row r="44" spans="1:16" x14ac:dyDescent="0.3">
      <c r="A44" s="2" t="s">
        <v>88</v>
      </c>
      <c r="B44" s="2" t="str">
        <f t="shared" si="2"/>
        <v>Thursday</v>
      </c>
      <c r="C44" s="2" t="s">
        <v>24</v>
      </c>
      <c r="D44" s="2" t="s">
        <v>16</v>
      </c>
      <c r="E44" s="2" t="s">
        <v>21</v>
      </c>
      <c r="F44" s="2" t="s">
        <v>60</v>
      </c>
      <c r="G44" s="2" t="s">
        <v>37</v>
      </c>
      <c r="H44" s="2">
        <v>4</v>
      </c>
      <c r="I44" s="3">
        <v>106.74</v>
      </c>
      <c r="J44" s="3">
        <v>159.34</v>
      </c>
      <c r="K44" s="3">
        <v>426.96</v>
      </c>
      <c r="L44" s="3">
        <v>637.36</v>
      </c>
      <c r="M44" s="3">
        <v>210.4</v>
      </c>
      <c r="N44" s="2">
        <v>2</v>
      </c>
      <c r="O44" s="7">
        <v>4</v>
      </c>
      <c r="P44" s="3">
        <f t="shared" si="3"/>
        <v>52.6</v>
      </c>
    </row>
    <row r="45" spans="1:16" x14ac:dyDescent="0.3">
      <c r="A45" s="2" t="s">
        <v>110</v>
      </c>
      <c r="B45" s="2" t="str">
        <f t="shared" si="2"/>
        <v>Thursday</v>
      </c>
      <c r="C45" s="2" t="s">
        <v>24</v>
      </c>
      <c r="D45" s="2" t="s">
        <v>27</v>
      </c>
      <c r="E45" s="2" t="s">
        <v>17</v>
      </c>
      <c r="F45" s="2" t="s">
        <v>43</v>
      </c>
      <c r="G45" s="2" t="s">
        <v>19</v>
      </c>
      <c r="H45" s="2">
        <v>2</v>
      </c>
      <c r="I45" s="3">
        <v>85.21</v>
      </c>
      <c r="J45" s="3">
        <v>126.6</v>
      </c>
      <c r="K45" s="3">
        <v>170.42</v>
      </c>
      <c r="L45" s="3">
        <v>253.2</v>
      </c>
      <c r="M45" s="3">
        <v>82.78</v>
      </c>
      <c r="N45" s="2">
        <v>3</v>
      </c>
      <c r="O45" s="7">
        <v>5</v>
      </c>
      <c r="P45" s="3">
        <f t="shared" si="3"/>
        <v>41.39</v>
      </c>
    </row>
    <row r="46" spans="1:16" x14ac:dyDescent="0.3">
      <c r="A46" s="2" t="s">
        <v>112</v>
      </c>
      <c r="B46" s="2" t="str">
        <f t="shared" si="2"/>
        <v>Thursday</v>
      </c>
      <c r="C46" s="2" t="s">
        <v>24</v>
      </c>
      <c r="D46" s="2" t="s">
        <v>25</v>
      </c>
      <c r="E46" s="2" t="s">
        <v>28</v>
      </c>
      <c r="F46" s="2" t="s">
        <v>29</v>
      </c>
      <c r="G46" s="2" t="s">
        <v>19</v>
      </c>
      <c r="H46" s="2">
        <v>1</v>
      </c>
      <c r="I46" s="3">
        <v>42.87</v>
      </c>
      <c r="J46" s="3">
        <v>67.38</v>
      </c>
      <c r="K46" s="3">
        <v>42.87</v>
      </c>
      <c r="L46" s="3">
        <v>67.38</v>
      </c>
      <c r="M46" s="3">
        <v>24.51</v>
      </c>
      <c r="N46" s="2">
        <v>5</v>
      </c>
      <c r="O46" s="7">
        <v>1</v>
      </c>
      <c r="P46" s="3">
        <f t="shared" si="3"/>
        <v>24.51</v>
      </c>
    </row>
    <row r="47" spans="1:16" x14ac:dyDescent="0.3">
      <c r="A47" s="2" t="s">
        <v>53</v>
      </c>
      <c r="B47" s="2" t="str">
        <f t="shared" si="2"/>
        <v>Thursday</v>
      </c>
      <c r="C47" s="2" t="s">
        <v>24</v>
      </c>
      <c r="D47" s="2" t="s">
        <v>25</v>
      </c>
      <c r="E47" s="2" t="s">
        <v>21</v>
      </c>
      <c r="F47" s="2" t="s">
        <v>22</v>
      </c>
      <c r="G47" s="2" t="s">
        <v>19</v>
      </c>
      <c r="H47" s="2">
        <v>2</v>
      </c>
      <c r="I47" s="3">
        <v>113.35</v>
      </c>
      <c r="J47" s="3">
        <v>203.53</v>
      </c>
      <c r="K47" s="3">
        <v>226.7</v>
      </c>
      <c r="L47" s="3">
        <v>407.06</v>
      </c>
      <c r="M47" s="3">
        <v>180.36</v>
      </c>
      <c r="N47" s="2">
        <v>2</v>
      </c>
      <c r="O47" s="7">
        <v>5</v>
      </c>
      <c r="P47" s="3">
        <f t="shared" si="3"/>
        <v>90.18</v>
      </c>
    </row>
    <row r="48" spans="1:16" x14ac:dyDescent="0.3">
      <c r="A48" s="2" t="s">
        <v>53</v>
      </c>
      <c r="B48" s="2" t="str">
        <f t="shared" si="2"/>
        <v>Thursday</v>
      </c>
      <c r="C48" s="2" t="s">
        <v>15</v>
      </c>
      <c r="D48" s="2" t="s">
        <v>25</v>
      </c>
      <c r="E48" s="2" t="s">
        <v>21</v>
      </c>
      <c r="F48" s="2" t="s">
        <v>22</v>
      </c>
      <c r="G48" s="2" t="s">
        <v>19</v>
      </c>
      <c r="H48" s="2">
        <v>6</v>
      </c>
      <c r="I48" s="3">
        <v>68.91</v>
      </c>
      <c r="J48" s="3">
        <v>107.62</v>
      </c>
      <c r="K48" s="3">
        <v>413.46</v>
      </c>
      <c r="L48" s="3">
        <v>645.72</v>
      </c>
      <c r="M48" s="3">
        <v>232.26</v>
      </c>
      <c r="N48" s="2">
        <v>1</v>
      </c>
      <c r="O48" s="7">
        <v>3</v>
      </c>
      <c r="P48" s="3">
        <f t="shared" si="3"/>
        <v>38.71</v>
      </c>
    </row>
    <row r="49" spans="1:16" x14ac:dyDescent="0.3">
      <c r="A49" s="2" t="s">
        <v>53</v>
      </c>
      <c r="B49" s="2" t="str">
        <f t="shared" si="2"/>
        <v>Thursday</v>
      </c>
      <c r="C49" s="2" t="s">
        <v>15</v>
      </c>
      <c r="D49" s="2" t="s">
        <v>27</v>
      </c>
      <c r="E49" s="2" t="s">
        <v>28</v>
      </c>
      <c r="F49" s="2" t="s">
        <v>35</v>
      </c>
      <c r="G49" s="2" t="s">
        <v>37</v>
      </c>
      <c r="H49" s="2">
        <v>5</v>
      </c>
      <c r="I49" s="3">
        <v>112.32</v>
      </c>
      <c r="J49" s="3">
        <v>156.49</v>
      </c>
      <c r="K49" s="3">
        <v>561.6</v>
      </c>
      <c r="L49" s="3">
        <v>782.45</v>
      </c>
      <c r="M49" s="3">
        <v>220.85</v>
      </c>
      <c r="N49" s="2">
        <v>3</v>
      </c>
      <c r="O49" s="7">
        <v>4</v>
      </c>
      <c r="P49" s="3">
        <f t="shared" si="3"/>
        <v>44.17</v>
      </c>
    </row>
    <row r="50" spans="1:16" x14ac:dyDescent="0.3">
      <c r="A50" s="2" t="s">
        <v>26</v>
      </c>
      <c r="B50" s="2" t="str">
        <f t="shared" si="2"/>
        <v>Thursday</v>
      </c>
      <c r="C50" s="2" t="s">
        <v>15</v>
      </c>
      <c r="D50" s="2" t="s">
        <v>27</v>
      </c>
      <c r="E50" s="2" t="s">
        <v>28</v>
      </c>
      <c r="F50" s="2" t="s">
        <v>29</v>
      </c>
      <c r="G50" s="2" t="s">
        <v>30</v>
      </c>
      <c r="H50" s="2">
        <v>7</v>
      </c>
      <c r="I50" s="3">
        <v>82.57</v>
      </c>
      <c r="J50" s="3">
        <v>135.13</v>
      </c>
      <c r="K50" s="3">
        <v>577.99</v>
      </c>
      <c r="L50" s="3">
        <v>945.91</v>
      </c>
      <c r="M50" s="3">
        <v>367.92</v>
      </c>
      <c r="N50" s="2">
        <v>6</v>
      </c>
      <c r="O50" s="7">
        <v>3</v>
      </c>
      <c r="P50" s="3">
        <f t="shared" si="3"/>
        <v>52.56</v>
      </c>
    </row>
    <row r="51" spans="1:16" x14ac:dyDescent="0.3">
      <c r="A51" s="2" t="s">
        <v>81</v>
      </c>
      <c r="B51" s="2" t="str">
        <f t="shared" si="2"/>
        <v>Thursday</v>
      </c>
      <c r="C51" s="2" t="s">
        <v>15</v>
      </c>
      <c r="D51" s="2" t="s">
        <v>16</v>
      </c>
      <c r="E51" s="2" t="s">
        <v>17</v>
      </c>
      <c r="F51" s="2" t="s">
        <v>49</v>
      </c>
      <c r="G51" s="2" t="s">
        <v>30</v>
      </c>
      <c r="H51" s="2">
        <v>1</v>
      </c>
      <c r="I51" s="3">
        <v>53.22</v>
      </c>
      <c r="J51" s="3">
        <v>82.06</v>
      </c>
      <c r="K51" s="3">
        <v>53.22</v>
      </c>
      <c r="L51" s="3">
        <v>82.06</v>
      </c>
      <c r="M51" s="3">
        <v>28.84</v>
      </c>
      <c r="N51" s="2">
        <v>10</v>
      </c>
      <c r="O51" s="7">
        <v>5</v>
      </c>
      <c r="P51" s="3">
        <f t="shared" si="3"/>
        <v>28.84</v>
      </c>
    </row>
    <row r="52" spans="1:16" x14ac:dyDescent="0.3">
      <c r="A52" s="2" t="s">
        <v>45</v>
      </c>
      <c r="B52" s="2" t="str">
        <f t="shared" si="2"/>
        <v>Thursday</v>
      </c>
      <c r="C52" s="2" t="s">
        <v>15</v>
      </c>
      <c r="D52" s="2" t="s">
        <v>33</v>
      </c>
      <c r="E52" s="2" t="s">
        <v>17</v>
      </c>
      <c r="F52" s="2" t="s">
        <v>43</v>
      </c>
      <c r="G52" s="2" t="s">
        <v>30</v>
      </c>
      <c r="H52" s="2">
        <v>1</v>
      </c>
      <c r="I52" s="3">
        <v>114.21</v>
      </c>
      <c r="J52" s="3">
        <v>170.8</v>
      </c>
      <c r="K52" s="3">
        <v>114.21</v>
      </c>
      <c r="L52" s="3">
        <v>170.8</v>
      </c>
      <c r="M52" s="3">
        <v>56.59</v>
      </c>
      <c r="N52" s="2">
        <v>7</v>
      </c>
      <c r="O52" s="7">
        <v>5</v>
      </c>
      <c r="P52" s="3">
        <f t="shared" si="3"/>
        <v>56.59</v>
      </c>
    </row>
    <row r="53" spans="1:16" x14ac:dyDescent="0.3">
      <c r="A53" s="2" t="s">
        <v>80</v>
      </c>
      <c r="B53" s="2" t="str">
        <f t="shared" si="2"/>
        <v>Thursday</v>
      </c>
      <c r="C53" s="2" t="s">
        <v>24</v>
      </c>
      <c r="D53" s="2" t="s">
        <v>16</v>
      </c>
      <c r="E53" s="2" t="s">
        <v>17</v>
      </c>
      <c r="F53" s="2" t="s">
        <v>18</v>
      </c>
      <c r="G53" s="2" t="s">
        <v>30</v>
      </c>
      <c r="H53" s="2">
        <v>7</v>
      </c>
      <c r="I53" s="3">
        <v>60</v>
      </c>
      <c r="J53" s="3">
        <v>101.76</v>
      </c>
      <c r="K53" s="3">
        <v>420</v>
      </c>
      <c r="L53" s="3">
        <v>712.32</v>
      </c>
      <c r="M53" s="3">
        <v>292.32</v>
      </c>
      <c r="N53" s="2">
        <v>7</v>
      </c>
      <c r="O53" s="7">
        <v>2</v>
      </c>
      <c r="P53" s="3">
        <f t="shared" si="3"/>
        <v>41.76</v>
      </c>
    </row>
    <row r="54" spans="1:16" x14ac:dyDescent="0.3">
      <c r="A54" s="2" t="s">
        <v>80</v>
      </c>
      <c r="B54" s="2" t="str">
        <f t="shared" si="2"/>
        <v>Thursday</v>
      </c>
      <c r="C54" s="2" t="s">
        <v>15</v>
      </c>
      <c r="D54" s="2" t="s">
        <v>27</v>
      </c>
      <c r="E54" s="2" t="s">
        <v>28</v>
      </c>
      <c r="F54" s="2" t="s">
        <v>29</v>
      </c>
      <c r="G54" s="2" t="s">
        <v>37</v>
      </c>
      <c r="H54" s="2">
        <v>2</v>
      </c>
      <c r="I54" s="3">
        <v>106.83</v>
      </c>
      <c r="J54" s="3">
        <v>161.68</v>
      </c>
      <c r="K54" s="3">
        <v>213.66</v>
      </c>
      <c r="L54" s="3">
        <v>323.36</v>
      </c>
      <c r="M54" s="3">
        <v>109.7</v>
      </c>
      <c r="N54" s="2">
        <v>3</v>
      </c>
      <c r="O54" s="7">
        <v>3</v>
      </c>
      <c r="P54" s="3">
        <f t="shared" si="3"/>
        <v>54.85</v>
      </c>
    </row>
    <row r="55" spans="1:16" x14ac:dyDescent="0.3">
      <c r="A55" s="2" t="s">
        <v>95</v>
      </c>
      <c r="B55" s="2" t="str">
        <f t="shared" si="2"/>
        <v>Thursday</v>
      </c>
      <c r="C55" s="2" t="s">
        <v>24</v>
      </c>
      <c r="D55" s="2" t="s">
        <v>27</v>
      </c>
      <c r="E55" s="2" t="s">
        <v>17</v>
      </c>
      <c r="F55" s="2" t="s">
        <v>18</v>
      </c>
      <c r="G55" s="2" t="s">
        <v>30</v>
      </c>
      <c r="H55" s="2">
        <v>4</v>
      </c>
      <c r="I55" s="3">
        <v>33.299999999999997</v>
      </c>
      <c r="J55" s="3">
        <v>53.11</v>
      </c>
      <c r="K55" s="3">
        <v>133.19999999999999</v>
      </c>
      <c r="L55" s="3">
        <v>212.44</v>
      </c>
      <c r="M55" s="3">
        <v>79.239999999999995</v>
      </c>
      <c r="N55" s="2">
        <v>7</v>
      </c>
      <c r="O55" s="7">
        <v>1</v>
      </c>
      <c r="P55" s="3">
        <f t="shared" si="3"/>
        <v>19.809999999999999</v>
      </c>
    </row>
    <row r="56" spans="1:16" x14ac:dyDescent="0.3">
      <c r="A56" s="2" t="s">
        <v>95</v>
      </c>
      <c r="B56" s="2" t="str">
        <f t="shared" si="2"/>
        <v>Thursday</v>
      </c>
      <c r="C56" s="2" t="s">
        <v>24</v>
      </c>
      <c r="D56" s="2" t="s">
        <v>27</v>
      </c>
      <c r="E56" s="2" t="s">
        <v>28</v>
      </c>
      <c r="F56" s="2" t="s">
        <v>69</v>
      </c>
      <c r="G56" s="2" t="s">
        <v>19</v>
      </c>
      <c r="H56" s="2">
        <v>6</v>
      </c>
      <c r="I56" s="3">
        <v>39.4</v>
      </c>
      <c r="J56" s="3">
        <v>66.75</v>
      </c>
      <c r="K56" s="3">
        <v>236.4</v>
      </c>
      <c r="L56" s="3">
        <v>400.5</v>
      </c>
      <c r="M56" s="3">
        <v>164.1</v>
      </c>
      <c r="N56" s="2">
        <v>2</v>
      </c>
      <c r="O56" s="7">
        <v>2</v>
      </c>
      <c r="P56" s="3">
        <f t="shared" si="3"/>
        <v>27.349999999999998</v>
      </c>
    </row>
    <row r="57" spans="1:16" x14ac:dyDescent="0.3">
      <c r="A57" s="2" t="s">
        <v>95</v>
      </c>
      <c r="B57" s="2" t="str">
        <f t="shared" si="2"/>
        <v>Thursday</v>
      </c>
      <c r="C57" s="2" t="s">
        <v>15</v>
      </c>
      <c r="D57" s="2" t="s">
        <v>33</v>
      </c>
      <c r="E57" s="2" t="s">
        <v>21</v>
      </c>
      <c r="F57" s="2" t="s">
        <v>22</v>
      </c>
      <c r="G57" s="2" t="s">
        <v>30</v>
      </c>
      <c r="H57" s="2">
        <v>7</v>
      </c>
      <c r="I57" s="3">
        <v>20.52</v>
      </c>
      <c r="J57" s="3">
        <v>31.3</v>
      </c>
      <c r="K57" s="3">
        <v>143.63999999999999</v>
      </c>
      <c r="L57" s="3">
        <v>219.1</v>
      </c>
      <c r="M57" s="3">
        <v>75.459999999999994</v>
      </c>
      <c r="N57" s="2">
        <v>9</v>
      </c>
      <c r="O57" s="7">
        <v>2</v>
      </c>
      <c r="P57" s="3">
        <f t="shared" si="3"/>
        <v>10.78</v>
      </c>
    </row>
    <row r="58" spans="1:16" x14ac:dyDescent="0.3">
      <c r="A58" s="2" t="s">
        <v>117</v>
      </c>
      <c r="B58" s="2" t="str">
        <f t="shared" si="2"/>
        <v>Thursday</v>
      </c>
      <c r="C58" s="2" t="s">
        <v>15</v>
      </c>
      <c r="D58" s="2" t="s">
        <v>27</v>
      </c>
      <c r="E58" s="2" t="s">
        <v>21</v>
      </c>
      <c r="F58" s="2" t="s">
        <v>22</v>
      </c>
      <c r="G58" s="2" t="s">
        <v>37</v>
      </c>
      <c r="H58" s="2">
        <v>2</v>
      </c>
      <c r="I58" s="3">
        <v>99.68</v>
      </c>
      <c r="J58" s="3">
        <v>153.47</v>
      </c>
      <c r="K58" s="3">
        <v>199.36</v>
      </c>
      <c r="L58" s="3">
        <v>306.94</v>
      </c>
      <c r="M58" s="3">
        <v>107.58</v>
      </c>
      <c r="N58" s="2">
        <v>3</v>
      </c>
      <c r="O58" s="7">
        <v>5</v>
      </c>
      <c r="P58" s="3">
        <f t="shared" si="3"/>
        <v>53.79</v>
      </c>
    </row>
    <row r="59" spans="1:16" x14ac:dyDescent="0.3">
      <c r="A59" s="2" t="s">
        <v>74</v>
      </c>
      <c r="B59" s="2" t="str">
        <f t="shared" si="2"/>
        <v>Thursday</v>
      </c>
      <c r="C59" s="2" t="s">
        <v>24</v>
      </c>
      <c r="D59" s="2" t="s">
        <v>27</v>
      </c>
      <c r="E59" s="2" t="s">
        <v>17</v>
      </c>
      <c r="F59" s="2" t="s">
        <v>43</v>
      </c>
      <c r="G59" s="2" t="s">
        <v>37</v>
      </c>
      <c r="H59" s="2">
        <v>4</v>
      </c>
      <c r="I59" s="3">
        <v>90.95</v>
      </c>
      <c r="J59" s="3">
        <v>124.05</v>
      </c>
      <c r="K59" s="3">
        <v>363.8</v>
      </c>
      <c r="L59" s="3">
        <v>496.2</v>
      </c>
      <c r="M59" s="3">
        <v>132.4</v>
      </c>
      <c r="N59" s="2">
        <v>3</v>
      </c>
      <c r="O59" s="7">
        <v>5</v>
      </c>
      <c r="P59" s="3">
        <f t="shared" si="3"/>
        <v>33.1</v>
      </c>
    </row>
    <row r="60" spans="1:16" x14ac:dyDescent="0.3">
      <c r="A60" s="2" t="s">
        <v>84</v>
      </c>
      <c r="B60" s="2" t="str">
        <f t="shared" si="2"/>
        <v>Thursday</v>
      </c>
      <c r="C60" s="2" t="s">
        <v>15</v>
      </c>
      <c r="D60" s="2" t="s">
        <v>33</v>
      </c>
      <c r="E60" s="2" t="s">
        <v>28</v>
      </c>
      <c r="F60" s="2" t="s">
        <v>29</v>
      </c>
      <c r="G60" s="2" t="s">
        <v>19</v>
      </c>
      <c r="H60" s="2">
        <v>2</v>
      </c>
      <c r="I60" s="3">
        <v>20.85</v>
      </c>
      <c r="J60" s="3">
        <v>29.73</v>
      </c>
      <c r="K60" s="3">
        <v>41.7</v>
      </c>
      <c r="L60" s="3">
        <v>59.46</v>
      </c>
      <c r="M60" s="3">
        <v>17.760000000000002</v>
      </c>
      <c r="N60" s="2">
        <v>4</v>
      </c>
      <c r="O60" s="7">
        <v>2</v>
      </c>
      <c r="P60" s="3">
        <f t="shared" si="3"/>
        <v>8.8800000000000008</v>
      </c>
    </row>
    <row r="61" spans="1:16" x14ac:dyDescent="0.3">
      <c r="A61" s="2" t="s">
        <v>92</v>
      </c>
      <c r="B61" s="2" t="str">
        <f t="shared" si="2"/>
        <v>Thursday</v>
      </c>
      <c r="C61" s="2" t="s">
        <v>24</v>
      </c>
      <c r="D61" s="2" t="s">
        <v>27</v>
      </c>
      <c r="E61" s="2" t="s">
        <v>17</v>
      </c>
      <c r="F61" s="2" t="s">
        <v>49</v>
      </c>
      <c r="G61" s="2" t="s">
        <v>19</v>
      </c>
      <c r="H61" s="2">
        <v>9</v>
      </c>
      <c r="I61" s="3">
        <v>25.61</v>
      </c>
      <c r="J61" s="3">
        <v>34.69</v>
      </c>
      <c r="K61" s="3">
        <v>230.49</v>
      </c>
      <c r="L61" s="3">
        <v>312.20999999999998</v>
      </c>
      <c r="M61" s="3">
        <v>81.72</v>
      </c>
      <c r="N61" s="2">
        <v>1</v>
      </c>
      <c r="O61" s="7">
        <v>4</v>
      </c>
      <c r="P61" s="3">
        <f t="shared" si="3"/>
        <v>9.08</v>
      </c>
    </row>
    <row r="62" spans="1:16" x14ac:dyDescent="0.3">
      <c r="A62" s="2" t="s">
        <v>114</v>
      </c>
      <c r="B62" s="2" t="str">
        <f t="shared" si="2"/>
        <v>Thursday</v>
      </c>
      <c r="C62" s="2" t="s">
        <v>15</v>
      </c>
      <c r="D62" s="2" t="s">
        <v>27</v>
      </c>
      <c r="E62" s="2" t="s">
        <v>28</v>
      </c>
      <c r="F62" s="2" t="s">
        <v>35</v>
      </c>
      <c r="G62" s="2" t="s">
        <v>37</v>
      </c>
      <c r="H62" s="2">
        <v>3</v>
      </c>
      <c r="I62" s="3">
        <v>29.48</v>
      </c>
      <c r="J62" s="3">
        <v>44.56</v>
      </c>
      <c r="K62" s="3">
        <v>88.44</v>
      </c>
      <c r="L62" s="3">
        <v>133.68</v>
      </c>
      <c r="M62" s="3">
        <v>45.24</v>
      </c>
      <c r="N62" s="2">
        <v>5</v>
      </c>
      <c r="O62" s="7">
        <v>4</v>
      </c>
      <c r="P62" s="3">
        <f t="shared" si="3"/>
        <v>15.08</v>
      </c>
    </row>
    <row r="63" spans="1:16" x14ac:dyDescent="0.3">
      <c r="A63" s="2" t="s">
        <v>38</v>
      </c>
      <c r="B63" s="2" t="str">
        <f t="shared" si="2"/>
        <v>Thursday</v>
      </c>
      <c r="C63" s="2" t="s">
        <v>24</v>
      </c>
      <c r="D63" s="2" t="s">
        <v>33</v>
      </c>
      <c r="E63" s="2" t="s">
        <v>17</v>
      </c>
      <c r="F63" s="2" t="s">
        <v>49</v>
      </c>
      <c r="G63" s="2" t="s">
        <v>19</v>
      </c>
      <c r="H63" s="2">
        <v>5</v>
      </c>
      <c r="I63" s="3">
        <v>105.64</v>
      </c>
      <c r="J63" s="3">
        <v>154.18</v>
      </c>
      <c r="K63" s="3">
        <v>528.20000000000005</v>
      </c>
      <c r="L63" s="3">
        <v>770.9</v>
      </c>
      <c r="M63" s="3">
        <v>242.7</v>
      </c>
      <c r="N63" s="2">
        <v>3</v>
      </c>
      <c r="O63" s="7">
        <v>1</v>
      </c>
      <c r="P63" s="3">
        <f t="shared" si="3"/>
        <v>48.54</v>
      </c>
    </row>
    <row r="64" spans="1:16" x14ac:dyDescent="0.3">
      <c r="A64" s="2" t="s">
        <v>38</v>
      </c>
      <c r="B64" s="2" t="str">
        <f t="shared" si="2"/>
        <v>Thursday</v>
      </c>
      <c r="C64" s="2" t="s">
        <v>15</v>
      </c>
      <c r="D64" s="2" t="s">
        <v>25</v>
      </c>
      <c r="E64" s="2" t="s">
        <v>21</v>
      </c>
      <c r="F64" s="2" t="s">
        <v>39</v>
      </c>
      <c r="G64" s="2" t="s">
        <v>37</v>
      </c>
      <c r="H64" s="2">
        <v>1</v>
      </c>
      <c r="I64" s="3">
        <v>41.68</v>
      </c>
      <c r="J64" s="3">
        <v>59.2</v>
      </c>
      <c r="K64" s="3">
        <v>41.68</v>
      </c>
      <c r="L64" s="3">
        <v>59.2</v>
      </c>
      <c r="M64" s="3">
        <v>17.52</v>
      </c>
      <c r="N64" s="2">
        <v>3</v>
      </c>
      <c r="O64" s="7">
        <v>2</v>
      </c>
      <c r="P64" s="3">
        <f t="shared" si="3"/>
        <v>17.52</v>
      </c>
    </row>
    <row r="65" spans="1:16" x14ac:dyDescent="0.3">
      <c r="A65" s="2" t="s">
        <v>64</v>
      </c>
      <c r="B65" s="2" t="str">
        <f t="shared" si="2"/>
        <v>Friday</v>
      </c>
      <c r="C65" s="2" t="s">
        <v>15</v>
      </c>
      <c r="D65" s="2" t="s">
        <v>27</v>
      </c>
      <c r="E65" s="2" t="s">
        <v>21</v>
      </c>
      <c r="F65" s="2" t="s">
        <v>60</v>
      </c>
      <c r="G65" s="2" t="s">
        <v>30</v>
      </c>
      <c r="H65" s="2">
        <v>10</v>
      </c>
      <c r="I65" s="3">
        <v>60.59</v>
      </c>
      <c r="J65" s="3">
        <v>104.3</v>
      </c>
      <c r="K65" s="3">
        <v>605.9</v>
      </c>
      <c r="L65" s="3">
        <v>1043</v>
      </c>
      <c r="M65" s="3">
        <v>437.1</v>
      </c>
      <c r="N65" s="2">
        <v>7</v>
      </c>
      <c r="O65" s="7">
        <v>3</v>
      </c>
      <c r="P65" s="3">
        <f t="shared" si="3"/>
        <v>43.71</v>
      </c>
    </row>
    <row r="66" spans="1:16" x14ac:dyDescent="0.3">
      <c r="A66" s="2" t="s">
        <v>65</v>
      </c>
      <c r="B66" s="2" t="str">
        <f t="shared" ref="B66:B97" si="4">TEXT(DAY(A66),"dddd")</f>
        <v>Friday</v>
      </c>
      <c r="C66" s="2" t="s">
        <v>15</v>
      </c>
      <c r="D66" s="2" t="s">
        <v>33</v>
      </c>
      <c r="E66" s="2" t="s">
        <v>21</v>
      </c>
      <c r="F66" s="2" t="s">
        <v>22</v>
      </c>
      <c r="G66" s="2" t="s">
        <v>37</v>
      </c>
      <c r="H66" s="2">
        <v>8</v>
      </c>
      <c r="I66" s="3">
        <v>104.05</v>
      </c>
      <c r="J66" s="3">
        <v>135.44</v>
      </c>
      <c r="K66" s="3">
        <v>832.4</v>
      </c>
      <c r="L66" s="3">
        <v>1083.52</v>
      </c>
      <c r="M66" s="3">
        <v>251.12</v>
      </c>
      <c r="N66" s="2">
        <v>2</v>
      </c>
      <c r="O66" s="7">
        <v>4</v>
      </c>
      <c r="P66" s="3">
        <f t="shared" ref="P66:P101" si="5">M66/H66</f>
        <v>31.39</v>
      </c>
    </row>
    <row r="67" spans="1:16" x14ac:dyDescent="0.3">
      <c r="A67" s="2" t="s">
        <v>107</v>
      </c>
      <c r="B67" s="2" t="str">
        <f t="shared" si="4"/>
        <v>Friday</v>
      </c>
      <c r="C67" s="2" t="s">
        <v>24</v>
      </c>
      <c r="D67" s="2" t="s">
        <v>16</v>
      </c>
      <c r="E67" s="2" t="s">
        <v>21</v>
      </c>
      <c r="F67" s="2" t="s">
        <v>39</v>
      </c>
      <c r="G67" s="2" t="s">
        <v>19</v>
      </c>
      <c r="H67" s="2">
        <v>8</v>
      </c>
      <c r="I67" s="3">
        <v>117.02</v>
      </c>
      <c r="J67" s="3">
        <v>190.22</v>
      </c>
      <c r="K67" s="3">
        <v>936.16</v>
      </c>
      <c r="L67" s="3">
        <v>1521.76</v>
      </c>
      <c r="M67" s="3">
        <v>585.6</v>
      </c>
      <c r="N67" s="2">
        <v>2</v>
      </c>
      <c r="O67" s="7">
        <v>5</v>
      </c>
      <c r="P67" s="3">
        <f t="shared" si="5"/>
        <v>73.2</v>
      </c>
    </row>
    <row r="68" spans="1:16" x14ac:dyDescent="0.3">
      <c r="A68" s="2" t="s">
        <v>107</v>
      </c>
      <c r="B68" s="2" t="str">
        <f t="shared" si="4"/>
        <v>Friday</v>
      </c>
      <c r="C68" s="2" t="s">
        <v>15</v>
      </c>
      <c r="D68" s="2" t="s">
        <v>16</v>
      </c>
      <c r="E68" s="2" t="s">
        <v>21</v>
      </c>
      <c r="F68" s="2" t="s">
        <v>39</v>
      </c>
      <c r="G68" s="2" t="s">
        <v>19</v>
      </c>
      <c r="H68" s="2">
        <v>1</v>
      </c>
      <c r="I68" s="3">
        <v>37.53</v>
      </c>
      <c r="J68" s="3">
        <v>65.77</v>
      </c>
      <c r="K68" s="3">
        <v>37.53</v>
      </c>
      <c r="L68" s="3">
        <v>65.77</v>
      </c>
      <c r="M68" s="3">
        <v>28.24</v>
      </c>
      <c r="N68" s="2">
        <v>4</v>
      </c>
      <c r="O68" s="7">
        <v>5</v>
      </c>
      <c r="P68" s="3">
        <f t="shared" si="5"/>
        <v>28.24</v>
      </c>
    </row>
    <row r="69" spans="1:16" x14ac:dyDescent="0.3">
      <c r="A69" s="2" t="s">
        <v>41</v>
      </c>
      <c r="B69" s="2" t="str">
        <f t="shared" si="4"/>
        <v>Friday</v>
      </c>
      <c r="C69" s="2" t="s">
        <v>24</v>
      </c>
      <c r="D69" s="2" t="s">
        <v>27</v>
      </c>
      <c r="E69" s="2" t="s">
        <v>28</v>
      </c>
      <c r="F69" s="2" t="s">
        <v>29</v>
      </c>
      <c r="G69" s="2" t="s">
        <v>19</v>
      </c>
      <c r="H69" s="2">
        <v>9</v>
      </c>
      <c r="I69" s="3">
        <v>103.97</v>
      </c>
      <c r="J69" s="3">
        <v>135.93</v>
      </c>
      <c r="K69" s="3">
        <v>935.73</v>
      </c>
      <c r="L69" s="3">
        <v>1223.3699999999999</v>
      </c>
      <c r="M69" s="3">
        <v>287.64</v>
      </c>
      <c r="N69" s="2">
        <v>1</v>
      </c>
      <c r="O69" s="7">
        <v>1</v>
      </c>
      <c r="P69" s="3">
        <f t="shared" si="5"/>
        <v>31.959999999999997</v>
      </c>
    </row>
    <row r="70" spans="1:16" x14ac:dyDescent="0.3">
      <c r="A70" s="2" t="s">
        <v>109</v>
      </c>
      <c r="B70" s="2" t="str">
        <f t="shared" si="4"/>
        <v>Friday</v>
      </c>
      <c r="C70" s="2" t="s">
        <v>24</v>
      </c>
      <c r="D70" s="2" t="s">
        <v>25</v>
      </c>
      <c r="E70" s="2" t="s">
        <v>21</v>
      </c>
      <c r="F70" s="2" t="s">
        <v>39</v>
      </c>
      <c r="G70" s="2" t="s">
        <v>30</v>
      </c>
      <c r="H70" s="2">
        <v>9</v>
      </c>
      <c r="I70" s="3">
        <v>84.54</v>
      </c>
      <c r="J70" s="3">
        <v>144.63</v>
      </c>
      <c r="K70" s="3">
        <v>760.86</v>
      </c>
      <c r="L70" s="3">
        <v>1301.67</v>
      </c>
      <c r="M70" s="3">
        <v>540.80999999999995</v>
      </c>
      <c r="N70" s="2">
        <v>5</v>
      </c>
      <c r="O70" s="7">
        <v>3</v>
      </c>
      <c r="P70" s="3">
        <f t="shared" si="5"/>
        <v>60.089999999999996</v>
      </c>
    </row>
    <row r="71" spans="1:16" x14ac:dyDescent="0.3">
      <c r="A71" s="2" t="s">
        <v>103</v>
      </c>
      <c r="B71" s="2" t="str">
        <f t="shared" si="4"/>
        <v>Friday</v>
      </c>
      <c r="C71" s="2" t="s">
        <v>15</v>
      </c>
      <c r="D71" s="2" t="s">
        <v>16</v>
      </c>
      <c r="E71" s="2" t="s">
        <v>21</v>
      </c>
      <c r="F71" s="2" t="s">
        <v>22</v>
      </c>
      <c r="G71" s="2" t="s">
        <v>19</v>
      </c>
      <c r="H71" s="2">
        <v>7</v>
      </c>
      <c r="I71" s="3">
        <v>66.239999999999995</v>
      </c>
      <c r="J71" s="3">
        <v>102.02</v>
      </c>
      <c r="K71" s="3">
        <v>463.68</v>
      </c>
      <c r="L71" s="3">
        <v>714.14</v>
      </c>
      <c r="M71" s="3">
        <v>250.46</v>
      </c>
      <c r="N71" s="2">
        <v>5</v>
      </c>
      <c r="O71" s="7">
        <v>3</v>
      </c>
      <c r="P71" s="3">
        <f t="shared" si="5"/>
        <v>35.78</v>
      </c>
    </row>
    <row r="72" spans="1:16" x14ac:dyDescent="0.3">
      <c r="A72" s="2" t="s">
        <v>100</v>
      </c>
      <c r="B72" s="2" t="str">
        <f t="shared" si="4"/>
        <v>Friday</v>
      </c>
      <c r="C72" s="2" t="s">
        <v>15</v>
      </c>
      <c r="D72" s="2" t="s">
        <v>27</v>
      </c>
      <c r="E72" s="2" t="s">
        <v>21</v>
      </c>
      <c r="F72" s="2" t="s">
        <v>60</v>
      </c>
      <c r="G72" s="2" t="s">
        <v>19</v>
      </c>
      <c r="H72" s="2">
        <v>2</v>
      </c>
      <c r="I72" s="3">
        <v>109.09</v>
      </c>
      <c r="J72" s="3">
        <v>181.75</v>
      </c>
      <c r="K72" s="3">
        <v>218.18</v>
      </c>
      <c r="L72" s="3">
        <v>363.5</v>
      </c>
      <c r="M72" s="3">
        <v>145.32</v>
      </c>
      <c r="N72" s="2">
        <v>4</v>
      </c>
      <c r="O72" s="7">
        <v>3</v>
      </c>
      <c r="P72" s="3">
        <f t="shared" si="5"/>
        <v>72.66</v>
      </c>
    </row>
    <row r="73" spans="1:16" x14ac:dyDescent="0.3">
      <c r="A73" s="2" t="s">
        <v>108</v>
      </c>
      <c r="B73" s="2" t="str">
        <f t="shared" si="4"/>
        <v>Friday</v>
      </c>
      <c r="C73" s="2" t="s">
        <v>24</v>
      </c>
      <c r="D73" s="2" t="s">
        <v>25</v>
      </c>
      <c r="E73" s="2" t="s">
        <v>21</v>
      </c>
      <c r="F73" s="2" t="s">
        <v>60</v>
      </c>
      <c r="G73" s="2" t="s">
        <v>30</v>
      </c>
      <c r="H73" s="2">
        <v>4</v>
      </c>
      <c r="I73" s="3">
        <v>78.91</v>
      </c>
      <c r="J73" s="3">
        <v>120.91</v>
      </c>
      <c r="K73" s="3">
        <v>315.64</v>
      </c>
      <c r="L73" s="3">
        <v>483.64</v>
      </c>
      <c r="M73" s="3">
        <v>168</v>
      </c>
      <c r="N73" s="2">
        <v>6</v>
      </c>
      <c r="O73" s="7">
        <v>3</v>
      </c>
      <c r="P73" s="3">
        <f t="shared" si="5"/>
        <v>42</v>
      </c>
    </row>
    <row r="74" spans="1:16" x14ac:dyDescent="0.3">
      <c r="A74" s="2" t="s">
        <v>91</v>
      </c>
      <c r="B74" s="2" t="str">
        <f t="shared" si="4"/>
        <v>Friday</v>
      </c>
      <c r="C74" s="2" t="s">
        <v>15</v>
      </c>
      <c r="D74" s="2" t="s">
        <v>16</v>
      </c>
      <c r="E74" s="2" t="s">
        <v>28</v>
      </c>
      <c r="F74" s="2" t="s">
        <v>69</v>
      </c>
      <c r="G74" s="2" t="s">
        <v>19</v>
      </c>
      <c r="H74" s="2">
        <v>6</v>
      </c>
      <c r="I74" s="3">
        <v>72.989999999999995</v>
      </c>
      <c r="J74" s="3">
        <v>120.53</v>
      </c>
      <c r="K74" s="3">
        <v>437.94</v>
      </c>
      <c r="L74" s="3">
        <v>723.18</v>
      </c>
      <c r="M74" s="3">
        <v>285.24</v>
      </c>
      <c r="N74" s="2">
        <v>4</v>
      </c>
      <c r="O74" s="7">
        <v>1</v>
      </c>
      <c r="P74" s="3">
        <f t="shared" si="5"/>
        <v>47.54</v>
      </c>
    </row>
    <row r="75" spans="1:16" x14ac:dyDescent="0.3">
      <c r="A75" s="2" t="s">
        <v>86</v>
      </c>
      <c r="B75" s="2" t="str">
        <f t="shared" si="4"/>
        <v>Friday</v>
      </c>
      <c r="C75" s="2" t="s">
        <v>15</v>
      </c>
      <c r="D75" s="2" t="s">
        <v>25</v>
      </c>
      <c r="E75" s="2" t="s">
        <v>21</v>
      </c>
      <c r="F75" s="2" t="s">
        <v>39</v>
      </c>
      <c r="G75" s="2" t="s">
        <v>19</v>
      </c>
      <c r="H75" s="2">
        <v>2</v>
      </c>
      <c r="I75" s="3">
        <v>49.89</v>
      </c>
      <c r="J75" s="3">
        <v>77.61</v>
      </c>
      <c r="K75" s="3">
        <v>99.78</v>
      </c>
      <c r="L75" s="3">
        <v>155.22</v>
      </c>
      <c r="M75" s="3">
        <v>55.44</v>
      </c>
      <c r="N75" s="2">
        <v>3</v>
      </c>
      <c r="O75" s="7">
        <v>3</v>
      </c>
      <c r="P75" s="3">
        <f t="shared" si="5"/>
        <v>27.72</v>
      </c>
    </row>
    <row r="76" spans="1:16" x14ac:dyDescent="0.3">
      <c r="A76" s="2" t="s">
        <v>70</v>
      </c>
      <c r="B76" s="2" t="str">
        <f t="shared" si="4"/>
        <v>Friday</v>
      </c>
      <c r="C76" s="2" t="s">
        <v>24</v>
      </c>
      <c r="D76" s="2" t="s">
        <v>33</v>
      </c>
      <c r="E76" s="2" t="s">
        <v>28</v>
      </c>
      <c r="F76" s="2" t="s">
        <v>29</v>
      </c>
      <c r="G76" s="2" t="s">
        <v>19</v>
      </c>
      <c r="H76" s="2">
        <v>1</v>
      </c>
      <c r="I76" s="3">
        <v>47.4</v>
      </c>
      <c r="J76" s="3">
        <v>67.16</v>
      </c>
      <c r="K76" s="3">
        <v>47.4</v>
      </c>
      <c r="L76" s="3">
        <v>67.16</v>
      </c>
      <c r="M76" s="3">
        <v>19.760000000000002</v>
      </c>
      <c r="N76" s="2">
        <v>2</v>
      </c>
      <c r="O76" s="7">
        <v>5</v>
      </c>
      <c r="P76" s="3">
        <f t="shared" si="5"/>
        <v>19.760000000000002</v>
      </c>
    </row>
    <row r="77" spans="1:16" x14ac:dyDescent="0.3">
      <c r="A77" s="2" t="s">
        <v>32</v>
      </c>
      <c r="B77" s="2" t="str">
        <f t="shared" si="4"/>
        <v>Saturday</v>
      </c>
      <c r="C77" s="2" t="s">
        <v>15</v>
      </c>
      <c r="D77" s="2" t="s">
        <v>33</v>
      </c>
      <c r="E77" s="2" t="s">
        <v>21</v>
      </c>
      <c r="F77" s="2" t="s">
        <v>22</v>
      </c>
      <c r="G77" s="2" t="s">
        <v>19</v>
      </c>
      <c r="H77" s="2">
        <v>9</v>
      </c>
      <c r="I77" s="3">
        <v>108.59</v>
      </c>
      <c r="J77" s="3">
        <v>182.16</v>
      </c>
      <c r="K77" s="3">
        <v>977.31</v>
      </c>
      <c r="L77" s="3">
        <v>1639.44</v>
      </c>
      <c r="M77" s="3">
        <v>662.13</v>
      </c>
      <c r="N77" s="2">
        <v>1</v>
      </c>
      <c r="O77" s="7">
        <v>1</v>
      </c>
      <c r="P77" s="3">
        <f t="shared" si="5"/>
        <v>73.569999999999993</v>
      </c>
    </row>
    <row r="78" spans="1:16" x14ac:dyDescent="0.3">
      <c r="A78" s="2" t="s">
        <v>32</v>
      </c>
      <c r="B78" s="2" t="str">
        <f t="shared" si="4"/>
        <v>Saturday</v>
      </c>
      <c r="C78" s="2" t="s">
        <v>15</v>
      </c>
      <c r="D78" s="2" t="s">
        <v>25</v>
      </c>
      <c r="E78" s="2" t="s">
        <v>17</v>
      </c>
      <c r="F78" s="2" t="s">
        <v>18</v>
      </c>
      <c r="G78" s="2" t="s">
        <v>19</v>
      </c>
      <c r="H78" s="2">
        <v>3</v>
      </c>
      <c r="I78" s="3">
        <v>116.03</v>
      </c>
      <c r="J78" s="3">
        <v>180.62</v>
      </c>
      <c r="K78" s="3">
        <v>348.09</v>
      </c>
      <c r="L78" s="3">
        <v>541.86</v>
      </c>
      <c r="M78" s="3">
        <v>193.77</v>
      </c>
      <c r="N78" s="2">
        <v>1</v>
      </c>
      <c r="O78" s="7">
        <v>3</v>
      </c>
      <c r="P78" s="3">
        <f t="shared" si="5"/>
        <v>64.59</v>
      </c>
    </row>
    <row r="79" spans="1:16" x14ac:dyDescent="0.3">
      <c r="A79" s="2" t="s">
        <v>89</v>
      </c>
      <c r="B79" s="2" t="str">
        <f t="shared" si="4"/>
        <v>Saturday</v>
      </c>
      <c r="C79" s="2" t="s">
        <v>24</v>
      </c>
      <c r="D79" s="2" t="s">
        <v>16</v>
      </c>
      <c r="E79" s="2" t="s">
        <v>17</v>
      </c>
      <c r="F79" s="2" t="s">
        <v>43</v>
      </c>
      <c r="G79" s="2" t="s">
        <v>30</v>
      </c>
      <c r="H79" s="2">
        <v>9</v>
      </c>
      <c r="I79" s="3">
        <v>35.82</v>
      </c>
      <c r="J79" s="3">
        <v>57.66</v>
      </c>
      <c r="K79" s="3">
        <v>322.38</v>
      </c>
      <c r="L79" s="3">
        <v>518.94000000000005</v>
      </c>
      <c r="M79" s="3">
        <v>196.56</v>
      </c>
      <c r="N79" s="2">
        <v>10</v>
      </c>
      <c r="O79" s="7">
        <v>1</v>
      </c>
      <c r="P79" s="3">
        <f t="shared" si="5"/>
        <v>21.84</v>
      </c>
    </row>
    <row r="80" spans="1:16" x14ac:dyDescent="0.3">
      <c r="A80" s="2" t="s">
        <v>52</v>
      </c>
      <c r="B80" s="2" t="str">
        <f t="shared" si="4"/>
        <v>Saturday</v>
      </c>
      <c r="C80" s="2" t="s">
        <v>15</v>
      </c>
      <c r="D80" s="2" t="s">
        <v>25</v>
      </c>
      <c r="E80" s="2" t="s">
        <v>17</v>
      </c>
      <c r="F80" s="2" t="s">
        <v>43</v>
      </c>
      <c r="G80" s="2" t="s">
        <v>19</v>
      </c>
      <c r="H80" s="2">
        <v>1</v>
      </c>
      <c r="I80" s="3">
        <v>54.11</v>
      </c>
      <c r="J80" s="3">
        <v>88.91</v>
      </c>
      <c r="K80" s="3">
        <v>54.11</v>
      </c>
      <c r="L80" s="3">
        <v>88.91</v>
      </c>
      <c r="M80" s="3">
        <v>34.799999999999997</v>
      </c>
      <c r="N80" s="2">
        <v>3</v>
      </c>
      <c r="O80" s="7">
        <v>5</v>
      </c>
      <c r="P80" s="3">
        <f t="shared" si="5"/>
        <v>34.799999999999997</v>
      </c>
    </row>
    <row r="81" spans="1:16" x14ac:dyDescent="0.3">
      <c r="A81" s="2" t="s">
        <v>52</v>
      </c>
      <c r="B81" s="2" t="str">
        <f t="shared" si="4"/>
        <v>Saturday</v>
      </c>
      <c r="C81" s="2" t="s">
        <v>15</v>
      </c>
      <c r="D81" s="2" t="s">
        <v>27</v>
      </c>
      <c r="E81" s="2" t="s">
        <v>28</v>
      </c>
      <c r="F81" s="2" t="s">
        <v>35</v>
      </c>
      <c r="G81" s="2" t="s">
        <v>37</v>
      </c>
      <c r="H81" s="2">
        <v>2</v>
      </c>
      <c r="I81" s="3">
        <v>72.52</v>
      </c>
      <c r="J81" s="3">
        <v>99.47</v>
      </c>
      <c r="K81" s="3">
        <v>145.04</v>
      </c>
      <c r="L81" s="3">
        <v>198.94</v>
      </c>
      <c r="M81" s="3">
        <v>53.9</v>
      </c>
      <c r="N81" s="2">
        <v>3</v>
      </c>
      <c r="O81" s="7">
        <v>3</v>
      </c>
      <c r="P81" s="3">
        <f t="shared" si="5"/>
        <v>26.95</v>
      </c>
    </row>
    <row r="82" spans="1:16" x14ac:dyDescent="0.3">
      <c r="A82" s="2" t="s">
        <v>93</v>
      </c>
      <c r="B82" s="2" t="str">
        <f t="shared" si="4"/>
        <v>Saturday</v>
      </c>
      <c r="C82" s="2" t="s">
        <v>24</v>
      </c>
      <c r="D82" s="2" t="s">
        <v>27</v>
      </c>
      <c r="E82" s="2" t="s">
        <v>21</v>
      </c>
      <c r="F82" s="2" t="s">
        <v>60</v>
      </c>
      <c r="G82" s="2" t="s">
        <v>37</v>
      </c>
      <c r="H82" s="2">
        <v>1</v>
      </c>
      <c r="I82" s="3">
        <v>95.52</v>
      </c>
      <c r="J82" s="3">
        <v>132.41999999999999</v>
      </c>
      <c r="K82" s="3">
        <v>95.52</v>
      </c>
      <c r="L82" s="3">
        <v>132.41999999999999</v>
      </c>
      <c r="M82" s="3">
        <v>36.9</v>
      </c>
      <c r="N82" s="2">
        <v>3</v>
      </c>
      <c r="O82" s="7">
        <v>2</v>
      </c>
      <c r="P82" s="3">
        <f t="shared" si="5"/>
        <v>36.9</v>
      </c>
    </row>
    <row r="83" spans="1:16" x14ac:dyDescent="0.3">
      <c r="A83" s="2" t="s">
        <v>83</v>
      </c>
      <c r="B83" s="2" t="str">
        <f t="shared" si="4"/>
        <v>Saturday</v>
      </c>
      <c r="C83" s="2" t="s">
        <v>24</v>
      </c>
      <c r="D83" s="2" t="s">
        <v>16</v>
      </c>
      <c r="E83" s="2" t="s">
        <v>21</v>
      </c>
      <c r="F83" s="2" t="s">
        <v>22</v>
      </c>
      <c r="G83" s="2" t="s">
        <v>19</v>
      </c>
      <c r="H83" s="2">
        <v>10</v>
      </c>
      <c r="I83" s="3">
        <v>44.49</v>
      </c>
      <c r="J83" s="3">
        <v>79.08</v>
      </c>
      <c r="K83" s="3">
        <v>444.9</v>
      </c>
      <c r="L83" s="3">
        <v>790.8</v>
      </c>
      <c r="M83" s="3">
        <v>345.9</v>
      </c>
      <c r="N83" s="2">
        <v>3</v>
      </c>
      <c r="O83" s="7">
        <v>3</v>
      </c>
      <c r="P83" s="3">
        <f t="shared" si="5"/>
        <v>34.589999999999996</v>
      </c>
    </row>
    <row r="84" spans="1:16" x14ac:dyDescent="0.3">
      <c r="A84" s="2" t="s">
        <v>56</v>
      </c>
      <c r="B84" s="2" t="str">
        <f t="shared" si="4"/>
        <v>Saturday</v>
      </c>
      <c r="C84" s="2" t="s">
        <v>24</v>
      </c>
      <c r="D84" s="2" t="s">
        <v>16</v>
      </c>
      <c r="E84" s="2" t="s">
        <v>21</v>
      </c>
      <c r="F84" s="2" t="s">
        <v>39</v>
      </c>
      <c r="G84" s="2" t="s">
        <v>19</v>
      </c>
      <c r="H84" s="2">
        <v>9</v>
      </c>
      <c r="I84" s="3">
        <v>41.01</v>
      </c>
      <c r="J84" s="3">
        <v>62.19</v>
      </c>
      <c r="K84" s="3">
        <v>369.09</v>
      </c>
      <c r="L84" s="3">
        <v>559.71</v>
      </c>
      <c r="M84" s="3">
        <v>190.62</v>
      </c>
      <c r="N84" s="2">
        <v>2</v>
      </c>
      <c r="O84" s="7">
        <v>2</v>
      </c>
      <c r="P84" s="3">
        <f t="shared" si="5"/>
        <v>21.18</v>
      </c>
    </row>
    <row r="85" spans="1:16" x14ac:dyDescent="0.3">
      <c r="A85" s="2" t="s">
        <v>87</v>
      </c>
      <c r="B85" s="2" t="str">
        <f t="shared" si="4"/>
        <v>Saturday</v>
      </c>
      <c r="C85" s="2" t="s">
        <v>24</v>
      </c>
      <c r="D85" s="2" t="s">
        <v>27</v>
      </c>
      <c r="E85" s="2" t="s">
        <v>21</v>
      </c>
      <c r="F85" s="2" t="s">
        <v>39</v>
      </c>
      <c r="G85" s="2" t="s">
        <v>37</v>
      </c>
      <c r="H85" s="2">
        <v>2</v>
      </c>
      <c r="I85" s="3">
        <v>108.68</v>
      </c>
      <c r="J85" s="3">
        <v>166</v>
      </c>
      <c r="K85" s="3">
        <v>217.36</v>
      </c>
      <c r="L85" s="3">
        <v>332</v>
      </c>
      <c r="M85" s="3">
        <v>114.64</v>
      </c>
      <c r="N85" s="2">
        <v>4</v>
      </c>
      <c r="O85" s="7">
        <v>3</v>
      </c>
      <c r="P85" s="3">
        <f t="shared" si="5"/>
        <v>57.32</v>
      </c>
    </row>
    <row r="86" spans="1:16" x14ac:dyDescent="0.3">
      <c r="A86" s="2" t="s">
        <v>115</v>
      </c>
      <c r="B86" s="2" t="str">
        <f t="shared" si="4"/>
        <v>Saturday</v>
      </c>
      <c r="C86" s="2" t="s">
        <v>24</v>
      </c>
      <c r="D86" s="2" t="s">
        <v>25</v>
      </c>
      <c r="E86" s="2" t="s">
        <v>17</v>
      </c>
      <c r="F86" s="2" t="s">
        <v>43</v>
      </c>
      <c r="G86" s="2" t="s">
        <v>19</v>
      </c>
      <c r="H86" s="2">
        <v>4</v>
      </c>
      <c r="I86" s="3">
        <v>33.630000000000003</v>
      </c>
      <c r="J86" s="3">
        <v>48.22</v>
      </c>
      <c r="K86" s="3">
        <v>134.52000000000001</v>
      </c>
      <c r="L86" s="3">
        <v>192.88</v>
      </c>
      <c r="M86" s="3">
        <v>58.36</v>
      </c>
      <c r="N86" s="2">
        <v>4</v>
      </c>
      <c r="O86" s="7">
        <v>2</v>
      </c>
      <c r="P86" s="3">
        <f t="shared" si="5"/>
        <v>14.59</v>
      </c>
    </row>
    <row r="87" spans="1:16" x14ac:dyDescent="0.3">
      <c r="A87" s="2" t="s">
        <v>40</v>
      </c>
      <c r="B87" s="2" t="str">
        <f t="shared" si="4"/>
        <v>Saturday</v>
      </c>
      <c r="C87" s="2" t="s">
        <v>24</v>
      </c>
      <c r="D87" s="2" t="s">
        <v>33</v>
      </c>
      <c r="E87" s="2" t="s">
        <v>21</v>
      </c>
      <c r="F87" s="2" t="s">
        <v>39</v>
      </c>
      <c r="G87" s="2" t="s">
        <v>37</v>
      </c>
      <c r="H87" s="2">
        <v>8</v>
      </c>
      <c r="I87" s="3">
        <v>44.25</v>
      </c>
      <c r="J87" s="3">
        <v>61.99</v>
      </c>
      <c r="K87" s="3">
        <v>354</v>
      </c>
      <c r="L87" s="3">
        <v>495.92</v>
      </c>
      <c r="M87" s="3">
        <v>141.91999999999999</v>
      </c>
      <c r="N87" s="2">
        <v>1</v>
      </c>
      <c r="O87" s="7">
        <v>3</v>
      </c>
      <c r="P87" s="3">
        <f t="shared" si="5"/>
        <v>17.739999999999998</v>
      </c>
    </row>
    <row r="88" spans="1:16" x14ac:dyDescent="0.3">
      <c r="A88" s="2" t="s">
        <v>96</v>
      </c>
      <c r="B88" s="2" t="str">
        <f t="shared" si="4"/>
        <v>Sunday</v>
      </c>
      <c r="C88" s="2" t="s">
        <v>15</v>
      </c>
      <c r="D88" s="2" t="s">
        <v>33</v>
      </c>
      <c r="E88" s="2" t="s">
        <v>21</v>
      </c>
      <c r="F88" s="2" t="s">
        <v>60</v>
      </c>
      <c r="G88" s="2" t="s">
        <v>37</v>
      </c>
      <c r="H88" s="2">
        <v>9</v>
      </c>
      <c r="I88" s="3">
        <v>25.16</v>
      </c>
      <c r="J88" s="3">
        <v>38.57</v>
      </c>
      <c r="K88" s="3">
        <v>226.44</v>
      </c>
      <c r="L88" s="3">
        <v>347.13</v>
      </c>
      <c r="M88" s="3">
        <v>120.69</v>
      </c>
      <c r="N88" s="2">
        <v>2</v>
      </c>
      <c r="O88" s="7">
        <v>5</v>
      </c>
      <c r="P88" s="3">
        <f t="shared" si="5"/>
        <v>13.41</v>
      </c>
    </row>
    <row r="89" spans="1:16" x14ac:dyDescent="0.3">
      <c r="A89" s="2" t="s">
        <v>98</v>
      </c>
      <c r="B89" s="2" t="str">
        <f t="shared" si="4"/>
        <v>Sunday</v>
      </c>
      <c r="C89" s="2" t="s">
        <v>24</v>
      </c>
      <c r="D89" s="2" t="s">
        <v>27</v>
      </c>
      <c r="E89" s="2" t="s">
        <v>17</v>
      </c>
      <c r="F89" s="2" t="s">
        <v>43</v>
      </c>
      <c r="G89" s="2" t="s">
        <v>30</v>
      </c>
      <c r="H89" s="2">
        <v>5</v>
      </c>
      <c r="I89" s="3">
        <v>55.83</v>
      </c>
      <c r="J89" s="3">
        <v>82.25</v>
      </c>
      <c r="K89" s="3">
        <v>279.14999999999998</v>
      </c>
      <c r="L89" s="3">
        <v>411.25</v>
      </c>
      <c r="M89" s="3">
        <v>132.1</v>
      </c>
      <c r="N89" s="2">
        <v>7</v>
      </c>
      <c r="O89" s="7">
        <v>1</v>
      </c>
      <c r="P89" s="3">
        <f t="shared" si="5"/>
        <v>26.419999999999998</v>
      </c>
    </row>
    <row r="90" spans="1:16" x14ac:dyDescent="0.3">
      <c r="A90" s="2" t="s">
        <v>46</v>
      </c>
      <c r="B90" s="2" t="str">
        <f t="shared" si="4"/>
        <v>Sunday</v>
      </c>
      <c r="C90" s="2" t="s">
        <v>15</v>
      </c>
      <c r="D90" s="2" t="s">
        <v>27</v>
      </c>
      <c r="E90" s="2" t="s">
        <v>21</v>
      </c>
      <c r="F90" s="2" t="s">
        <v>22</v>
      </c>
      <c r="G90" s="2" t="s">
        <v>37</v>
      </c>
      <c r="H90" s="2">
        <v>1</v>
      </c>
      <c r="I90" s="3">
        <v>83.64</v>
      </c>
      <c r="J90" s="3">
        <v>144.37</v>
      </c>
      <c r="K90" s="3">
        <v>83.64</v>
      </c>
      <c r="L90" s="3">
        <v>144.37</v>
      </c>
      <c r="M90" s="3">
        <v>60.73</v>
      </c>
      <c r="N90" s="2">
        <v>1</v>
      </c>
      <c r="O90" s="7">
        <v>5</v>
      </c>
      <c r="P90" s="3">
        <f t="shared" si="5"/>
        <v>60.73</v>
      </c>
    </row>
    <row r="91" spans="1:16" x14ac:dyDescent="0.3">
      <c r="A91" s="2" t="s">
        <v>71</v>
      </c>
      <c r="B91" s="2" t="str">
        <f t="shared" si="4"/>
        <v>Sunday</v>
      </c>
      <c r="C91" s="2" t="s">
        <v>15</v>
      </c>
      <c r="D91" s="2" t="s">
        <v>25</v>
      </c>
      <c r="E91" s="2" t="s">
        <v>28</v>
      </c>
      <c r="F91" s="2" t="s">
        <v>35</v>
      </c>
      <c r="G91" s="2" t="s">
        <v>19</v>
      </c>
      <c r="H91" s="2">
        <v>8</v>
      </c>
      <c r="I91" s="3">
        <v>61.08</v>
      </c>
      <c r="J91" s="3">
        <v>79.930000000000007</v>
      </c>
      <c r="K91" s="3">
        <v>488.64</v>
      </c>
      <c r="L91" s="3">
        <v>639.44000000000005</v>
      </c>
      <c r="M91" s="3">
        <v>150.80000000000001</v>
      </c>
      <c r="N91" s="2">
        <v>3</v>
      </c>
      <c r="O91" s="7">
        <v>1</v>
      </c>
      <c r="P91" s="3">
        <f t="shared" si="5"/>
        <v>18.850000000000001</v>
      </c>
    </row>
    <row r="92" spans="1:16" x14ac:dyDescent="0.3">
      <c r="A92" s="2" t="s">
        <v>71</v>
      </c>
      <c r="B92" s="2" t="str">
        <f t="shared" si="4"/>
        <v>Sunday</v>
      </c>
      <c r="C92" s="2" t="s">
        <v>15</v>
      </c>
      <c r="D92" s="2" t="s">
        <v>33</v>
      </c>
      <c r="E92" s="2" t="s">
        <v>28</v>
      </c>
      <c r="F92" s="2" t="s">
        <v>29</v>
      </c>
      <c r="G92" s="2" t="s">
        <v>30</v>
      </c>
      <c r="H92" s="2">
        <v>4</v>
      </c>
      <c r="I92" s="3">
        <v>114.86</v>
      </c>
      <c r="J92" s="3">
        <v>172.84</v>
      </c>
      <c r="K92" s="3">
        <v>459.44</v>
      </c>
      <c r="L92" s="3">
        <v>691.36</v>
      </c>
      <c r="M92" s="3">
        <v>231.92</v>
      </c>
      <c r="N92" s="2">
        <v>7</v>
      </c>
      <c r="O92" s="7">
        <v>1</v>
      </c>
      <c r="P92" s="3">
        <f t="shared" si="5"/>
        <v>57.98</v>
      </c>
    </row>
    <row r="93" spans="1:16" x14ac:dyDescent="0.3">
      <c r="A93" s="2" t="s">
        <v>68</v>
      </c>
      <c r="B93" s="2" t="str">
        <f t="shared" si="4"/>
        <v>Sunday</v>
      </c>
      <c r="C93" s="2" t="s">
        <v>24</v>
      </c>
      <c r="D93" s="2" t="s">
        <v>33</v>
      </c>
      <c r="E93" s="2" t="s">
        <v>28</v>
      </c>
      <c r="F93" s="2" t="s">
        <v>69</v>
      </c>
      <c r="G93" s="2" t="s">
        <v>37</v>
      </c>
      <c r="H93" s="2">
        <v>8</v>
      </c>
      <c r="I93" s="3">
        <v>114.3</v>
      </c>
      <c r="J93" s="3">
        <v>169.55</v>
      </c>
      <c r="K93" s="3">
        <v>914.4</v>
      </c>
      <c r="L93" s="3">
        <v>1356.4</v>
      </c>
      <c r="M93" s="3">
        <v>442</v>
      </c>
      <c r="N93" s="2">
        <v>3</v>
      </c>
      <c r="O93" s="7">
        <v>4</v>
      </c>
      <c r="P93" s="3">
        <f t="shared" si="5"/>
        <v>55.25</v>
      </c>
    </row>
    <row r="94" spans="1:16" x14ac:dyDescent="0.3">
      <c r="A94" s="2" t="s">
        <v>20</v>
      </c>
      <c r="B94" s="2" t="str">
        <f t="shared" si="4"/>
        <v>Sunday</v>
      </c>
      <c r="C94" s="2" t="s">
        <v>15</v>
      </c>
      <c r="D94" s="2" t="s">
        <v>16</v>
      </c>
      <c r="E94" s="2" t="s">
        <v>21</v>
      </c>
      <c r="F94" s="2" t="s">
        <v>22</v>
      </c>
      <c r="G94" s="2" t="s">
        <v>19</v>
      </c>
      <c r="H94" s="2">
        <v>2</v>
      </c>
      <c r="I94" s="3">
        <v>76.89</v>
      </c>
      <c r="J94" s="3">
        <v>106.58</v>
      </c>
      <c r="K94" s="3">
        <v>153.78</v>
      </c>
      <c r="L94" s="3">
        <v>213.16</v>
      </c>
      <c r="M94" s="3">
        <v>59.38</v>
      </c>
      <c r="N94" s="2">
        <v>3</v>
      </c>
      <c r="O94" s="7">
        <v>2</v>
      </c>
      <c r="P94" s="3">
        <f t="shared" si="5"/>
        <v>29.69</v>
      </c>
    </row>
    <row r="95" spans="1:16" x14ac:dyDescent="0.3">
      <c r="A95" s="2" t="s">
        <v>102</v>
      </c>
      <c r="B95" s="2" t="str">
        <f t="shared" si="4"/>
        <v>Sunday</v>
      </c>
      <c r="C95" s="2" t="s">
        <v>15</v>
      </c>
      <c r="D95" s="2" t="s">
        <v>16</v>
      </c>
      <c r="E95" s="2" t="s">
        <v>17</v>
      </c>
      <c r="F95" s="2" t="s">
        <v>43</v>
      </c>
      <c r="G95" s="2" t="s">
        <v>19</v>
      </c>
      <c r="H95" s="2">
        <v>3</v>
      </c>
      <c r="I95" s="3">
        <v>97.4</v>
      </c>
      <c r="J95" s="3">
        <v>152.87</v>
      </c>
      <c r="K95" s="3">
        <v>292.2</v>
      </c>
      <c r="L95" s="3">
        <v>458.61</v>
      </c>
      <c r="M95" s="3">
        <v>166.41</v>
      </c>
      <c r="N95" s="2">
        <v>1</v>
      </c>
      <c r="O95" s="7">
        <v>4</v>
      </c>
      <c r="P95" s="3">
        <f t="shared" si="5"/>
        <v>55.47</v>
      </c>
    </row>
    <row r="96" spans="1:16" x14ac:dyDescent="0.3">
      <c r="A96" s="2" t="s">
        <v>82</v>
      </c>
      <c r="B96" s="2" t="str">
        <f t="shared" si="4"/>
        <v>Sunday</v>
      </c>
      <c r="C96" s="2" t="s">
        <v>15</v>
      </c>
      <c r="D96" s="2" t="s">
        <v>27</v>
      </c>
      <c r="E96" s="2" t="s">
        <v>28</v>
      </c>
      <c r="F96" s="2" t="s">
        <v>35</v>
      </c>
      <c r="G96" s="2" t="s">
        <v>37</v>
      </c>
      <c r="H96" s="2">
        <v>1</v>
      </c>
      <c r="I96" s="3">
        <v>91.55</v>
      </c>
      <c r="J96" s="3">
        <v>154.83000000000001</v>
      </c>
      <c r="K96" s="3">
        <v>91.55</v>
      </c>
      <c r="L96" s="3">
        <v>154.83000000000001</v>
      </c>
      <c r="M96" s="3">
        <v>63.28</v>
      </c>
      <c r="N96" s="2">
        <v>4</v>
      </c>
      <c r="O96" s="7">
        <v>5</v>
      </c>
      <c r="P96" s="3">
        <f t="shared" si="5"/>
        <v>63.28</v>
      </c>
    </row>
    <row r="97" spans="1:16" x14ac:dyDescent="0.3">
      <c r="A97" s="2" t="s">
        <v>67</v>
      </c>
      <c r="B97" s="2" t="str">
        <f t="shared" si="4"/>
        <v>Sunday</v>
      </c>
      <c r="C97" s="2" t="s">
        <v>24</v>
      </c>
      <c r="D97" s="2" t="s">
        <v>25</v>
      </c>
      <c r="E97" s="2" t="s">
        <v>21</v>
      </c>
      <c r="F97" s="2" t="s">
        <v>39</v>
      </c>
      <c r="G97" s="2" t="s">
        <v>30</v>
      </c>
      <c r="H97" s="2">
        <v>2</v>
      </c>
      <c r="I97" s="3">
        <v>79.2</v>
      </c>
      <c r="J97" s="3">
        <v>113.89</v>
      </c>
      <c r="K97" s="3">
        <v>158.4</v>
      </c>
      <c r="L97" s="3">
        <v>227.78</v>
      </c>
      <c r="M97" s="3">
        <v>69.38</v>
      </c>
      <c r="N97" s="2">
        <v>10</v>
      </c>
      <c r="O97" s="7">
        <v>5</v>
      </c>
      <c r="P97" s="3">
        <f t="shared" si="5"/>
        <v>34.69</v>
      </c>
    </row>
    <row r="98" spans="1:16" x14ac:dyDescent="0.3">
      <c r="A98" s="2" t="s">
        <v>67</v>
      </c>
      <c r="B98" s="2" t="str">
        <f t="shared" ref="B98:B129" si="6">TEXT(DAY(A98),"dddd")</f>
        <v>Sunday</v>
      </c>
      <c r="C98" s="2" t="s">
        <v>24</v>
      </c>
      <c r="D98" s="2" t="s">
        <v>16</v>
      </c>
      <c r="E98" s="2" t="s">
        <v>28</v>
      </c>
      <c r="F98" s="2" t="s">
        <v>69</v>
      </c>
      <c r="G98" s="2" t="s">
        <v>30</v>
      </c>
      <c r="H98" s="2">
        <v>5</v>
      </c>
      <c r="I98" s="3">
        <v>32</v>
      </c>
      <c r="J98" s="3">
        <v>53.06</v>
      </c>
      <c r="K98" s="3">
        <v>160</v>
      </c>
      <c r="L98" s="3">
        <v>265.3</v>
      </c>
      <c r="M98" s="3">
        <v>105.3</v>
      </c>
      <c r="N98" s="2">
        <v>10</v>
      </c>
      <c r="O98" s="7">
        <v>3</v>
      </c>
      <c r="P98" s="3">
        <f t="shared" si="5"/>
        <v>21.06</v>
      </c>
    </row>
    <row r="99" spans="1:16" x14ac:dyDescent="0.3">
      <c r="A99" s="2" t="s">
        <v>76</v>
      </c>
      <c r="B99" s="2" t="str">
        <f t="shared" si="6"/>
        <v>Sunday</v>
      </c>
      <c r="C99" s="2" t="s">
        <v>24</v>
      </c>
      <c r="D99" s="2" t="s">
        <v>16</v>
      </c>
      <c r="E99" s="2" t="s">
        <v>21</v>
      </c>
      <c r="F99" s="2" t="s">
        <v>39</v>
      </c>
      <c r="G99" s="2" t="s">
        <v>19</v>
      </c>
      <c r="H99" s="2">
        <v>1</v>
      </c>
      <c r="I99" s="3">
        <v>87.43</v>
      </c>
      <c r="J99" s="3">
        <v>127.57</v>
      </c>
      <c r="K99" s="3">
        <v>87.43</v>
      </c>
      <c r="L99" s="3">
        <v>127.57</v>
      </c>
      <c r="M99" s="3">
        <v>40.14</v>
      </c>
      <c r="N99" s="2">
        <v>5</v>
      </c>
      <c r="O99" s="7">
        <v>5</v>
      </c>
      <c r="P99" s="3">
        <f t="shared" si="5"/>
        <v>40.14</v>
      </c>
    </row>
    <row r="100" spans="1:16" x14ac:dyDescent="0.3">
      <c r="A100" s="2" t="s">
        <v>73</v>
      </c>
      <c r="B100" s="2" t="str">
        <f t="shared" si="6"/>
        <v>Sunday</v>
      </c>
      <c r="C100" s="2" t="s">
        <v>24</v>
      </c>
      <c r="D100" s="2" t="s">
        <v>16</v>
      </c>
      <c r="E100" s="2" t="s">
        <v>17</v>
      </c>
      <c r="F100" s="2" t="s">
        <v>43</v>
      </c>
      <c r="G100" s="2" t="s">
        <v>19</v>
      </c>
      <c r="H100" s="2">
        <v>5</v>
      </c>
      <c r="I100" s="3">
        <v>57.18</v>
      </c>
      <c r="J100" s="3">
        <v>76.599999999999994</v>
      </c>
      <c r="K100" s="3">
        <v>285.89999999999998</v>
      </c>
      <c r="L100" s="3">
        <v>383</v>
      </c>
      <c r="M100" s="3">
        <v>97.1</v>
      </c>
      <c r="N100" s="2">
        <v>2</v>
      </c>
      <c r="O100" s="7">
        <v>4</v>
      </c>
      <c r="P100" s="3">
        <f t="shared" si="5"/>
        <v>19.419999999999998</v>
      </c>
    </row>
    <row r="101" spans="1:16" x14ac:dyDescent="0.3">
      <c r="A101" s="2" t="s">
        <v>55</v>
      </c>
      <c r="B101" s="2" t="str">
        <f t="shared" si="6"/>
        <v>Sunday</v>
      </c>
      <c r="C101" s="2" t="s">
        <v>24</v>
      </c>
      <c r="D101" s="2" t="s">
        <v>25</v>
      </c>
      <c r="E101" s="2" t="s">
        <v>17</v>
      </c>
      <c r="F101" s="2" t="s">
        <v>49</v>
      </c>
      <c r="G101" s="2" t="s">
        <v>30</v>
      </c>
      <c r="H101" s="2">
        <v>2</v>
      </c>
      <c r="I101" s="3">
        <v>73.59</v>
      </c>
      <c r="J101" s="3">
        <v>105.15</v>
      </c>
      <c r="K101" s="3">
        <v>147.18</v>
      </c>
      <c r="L101" s="3">
        <v>210.3</v>
      </c>
      <c r="M101" s="3">
        <v>63.12</v>
      </c>
      <c r="N101" s="2">
        <v>7</v>
      </c>
      <c r="O101" s="7">
        <v>3</v>
      </c>
      <c r="P101" s="3">
        <f t="shared" si="5"/>
        <v>31.56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55A9F219F666E44A625CB7AE2FCED9A" ma:contentTypeVersion="5" ma:contentTypeDescription="Utwórz nowy dokument." ma:contentTypeScope="" ma:versionID="218e0005c8b00e82e1955465e1ed7c3c">
  <xsd:schema xmlns:xsd="http://www.w3.org/2001/XMLSchema" xmlns:xs="http://www.w3.org/2001/XMLSchema" xmlns:p="http://schemas.microsoft.com/office/2006/metadata/properties" xmlns:ns3="e325f262-414a-42f9-b303-a5aea90c4c77" targetNamespace="http://schemas.microsoft.com/office/2006/metadata/properties" ma:root="true" ma:fieldsID="c40b07dff35eca03563209cdd9dc770a" ns3:_="">
    <xsd:import namespace="e325f262-414a-42f9-b303-a5aea90c4c7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5f262-414a-42f9-b303-a5aea90c4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A10FF2-47B4-46D3-93FD-2A0DC74021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25f262-414a-42f9-b303-a5aea90c4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38E0D8-A287-444D-BE15-A66DCD5BAEE7}">
  <ds:schemaRefs>
    <ds:schemaRef ds:uri="http://purl.org/dc/elements/1.1/"/>
    <ds:schemaRef ds:uri="http://schemas.microsoft.com/office/2006/metadata/properties"/>
    <ds:schemaRef ds:uri="http://purl.org/dc/term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e325f262-414a-42f9-b303-a5aea90c4c77"/>
    <ds:schemaRef ds:uri="http://www.w3.org/XML/1998/namespace"/>
  </ds:schemaRefs>
</ds:datastoreItem>
</file>

<file path=customXml/itemProps3.xml><?xml version="1.0" encoding="utf-8"?>
<ds:datastoreItem xmlns:ds="http://schemas.openxmlformats.org/officeDocument/2006/customXml" ds:itemID="{C4C37D54-9F61-4B5D-AAA8-578363A98B42}">
  <ds:schemaRefs>
    <ds:schemaRef ds:uri="http://schemas.microsoft.com/sharepoint/v3/contenttype/forms"/>
  </ds:schemaRefs>
</ds:datastoreItem>
</file>

<file path=docMetadata/LabelInfo.xml><?xml version="1.0" encoding="utf-8"?>
<clbl:labelList xmlns:clbl="http://schemas.microsoft.com/office/2020/mipLabelMetadata">
  <clbl:label id="{53bc24c5-73ad-421a-9408-3ea555be4a07}" enabled="0" method="" siteId="{53bc24c5-73ad-421a-9408-3ea555be4a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Daily Performance </vt:lpstr>
      <vt:lpstr>Regional Brand Performance</vt:lpstr>
      <vt:lpstr>Category Performance 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Abdulsamet 144973</cp:lastModifiedBy>
  <dcterms:created xsi:type="dcterms:W3CDTF">2026-03-14T13:23:48Z</dcterms:created>
  <dcterms:modified xsi:type="dcterms:W3CDTF">2026-03-17T10:13:20Z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0x010100D55A9F219F666E44A625CB7AE2FCED9A</vt:lpwstr>
  </property>
</Properties>
</file>